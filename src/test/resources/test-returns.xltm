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ndrewFox\Dropbox\OneDrive\Data\Zolt TPA\Demos\Templates\"/>
    </mc:Choice>
  </mc:AlternateContent>
  <xr:revisionPtr revIDLastSave="0" documentId="8_{07F6430B-DCD5-4CCC-9029-4E863FE0CE77}" xr6:coauthVersionLast="47" xr6:coauthVersionMax="47" xr10:uidLastSave="{00000000-0000-0000-0000-000000000000}"/>
  <bookViews>
    <workbookView xWindow="-103" yWindow="-103" windowWidth="33120" windowHeight="18000" xr2:uid="{2DE3D97E-A499-460B-8D02-9B21834DA144}"/>
  </bookViews>
  <sheets>
    <sheet name="Inputs and Chart" sheetId="3" r:id="rId1"/>
    <sheet name="Calcs and Formulas" sheetId="5" r:id="rId2"/>
    <sheet name="Advanced Returns" sheetId="2" r:id="rId3"/>
  </sheets>
  <definedNames>
    <definedName name="_xlnm.Print_Area" localSheetId="1">'Calcs and Formulas'!$A$1:$H$45</definedName>
    <definedName name="_xlnm.Print_Area" localSheetId="0">'Inputs and Chart'!$A$1:$AB$23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2" i="2" l="1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B80" i="3" l="1"/>
  <c r="B81" i="3"/>
  <c r="B57" i="3"/>
  <c r="B58" i="3"/>
  <c r="B59" i="3"/>
  <c r="B60" i="3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27" i="3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26" i="3"/>
  <c r="B25" i="3"/>
  <c r="K4" i="2" l="1"/>
  <c r="K5" i="2"/>
  <c r="K6" i="2"/>
  <c r="K7" i="2"/>
  <c r="K8" i="2"/>
  <c r="K9" i="2"/>
  <c r="K10" i="2"/>
  <c r="K11" i="2"/>
  <c r="J3" i="2"/>
  <c r="J4" i="2"/>
  <c r="J5" i="2"/>
  <c r="J6" i="2"/>
  <c r="J7" i="2"/>
  <c r="J8" i="2"/>
  <c r="J9" i="2"/>
  <c r="J10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11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H3" i="2"/>
  <c r="K3" i="2" s="1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C17" i="3" l="1"/>
  <c r="C16" i="3"/>
  <c r="C15" i="3"/>
  <c r="C14" i="3"/>
  <c r="C13" i="3"/>
  <c r="B6" i="3"/>
  <c r="E6" i="5" l="1"/>
  <c r="B6" i="5" l="1"/>
  <c r="A7" i="5"/>
  <c r="D6" i="5"/>
  <c r="A8" i="5" l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F6" i="5"/>
  <c r="G6" i="5" s="1"/>
  <c r="H6" i="5" s="1"/>
  <c r="B7" i="5"/>
  <c r="F7" i="5" s="1"/>
  <c r="C6" i="5"/>
  <c r="A32" i="5" l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C7" i="5"/>
  <c r="B8" i="5"/>
  <c r="F8" i="5" s="1"/>
  <c r="D7" i="5"/>
  <c r="E7" i="5" l="1"/>
  <c r="G7" i="5" s="1"/>
  <c r="H7" i="5" s="1"/>
  <c r="B9" i="5"/>
  <c r="C8" i="5"/>
  <c r="F9" i="5" l="1"/>
  <c r="C9" i="5"/>
  <c r="B10" i="5"/>
  <c r="F10" i="5" l="1"/>
  <c r="C10" i="5"/>
  <c r="B11" i="5"/>
  <c r="F11" i="5" l="1"/>
  <c r="C11" i="5"/>
  <c r="B12" i="5"/>
  <c r="F12" i="5" l="1"/>
  <c r="C12" i="5"/>
  <c r="B13" i="5"/>
  <c r="F13" i="5" l="1"/>
  <c r="C13" i="5"/>
  <c r="B14" i="5"/>
  <c r="F14" i="5" l="1"/>
  <c r="C14" i="5"/>
  <c r="B15" i="5"/>
  <c r="F15" i="5" l="1"/>
  <c r="C15" i="5"/>
  <c r="B16" i="5"/>
  <c r="F16" i="5" l="1"/>
  <c r="C16" i="5"/>
  <c r="B17" i="5"/>
  <c r="F17" i="5" l="1"/>
  <c r="C17" i="5"/>
  <c r="B18" i="5"/>
  <c r="F18" i="5" l="1"/>
  <c r="C18" i="5"/>
  <c r="B19" i="5"/>
  <c r="F19" i="5" l="1"/>
  <c r="C19" i="5"/>
  <c r="B20" i="5"/>
  <c r="F20" i="5" l="1"/>
  <c r="C20" i="5"/>
  <c r="B21" i="5"/>
  <c r="F21" i="5" l="1"/>
  <c r="C21" i="5"/>
  <c r="B22" i="5"/>
  <c r="F22" i="5" l="1"/>
  <c r="C22" i="5"/>
  <c r="B23" i="5"/>
  <c r="F23" i="5" l="1"/>
  <c r="C23" i="5"/>
  <c r="B24" i="5"/>
  <c r="F24" i="5" l="1"/>
  <c r="C24" i="5"/>
  <c r="B25" i="5"/>
  <c r="F25" i="5" l="1"/>
  <c r="C25" i="5"/>
  <c r="B26" i="5"/>
  <c r="F26" i="5" l="1"/>
  <c r="C26" i="5"/>
  <c r="B27" i="5"/>
  <c r="F27" i="5" l="1"/>
  <c r="C27" i="5"/>
  <c r="B28" i="5"/>
  <c r="F28" i="5" l="1"/>
  <c r="C28" i="5"/>
  <c r="B29" i="5"/>
  <c r="F29" i="5" l="1"/>
  <c r="C29" i="5"/>
  <c r="B30" i="5"/>
  <c r="F30" i="5" l="1"/>
  <c r="C30" i="5"/>
  <c r="B31" i="5"/>
  <c r="F31" i="5" l="1"/>
  <c r="C31" i="5"/>
  <c r="B32" i="5"/>
  <c r="F32" i="5" l="1"/>
  <c r="C32" i="5"/>
  <c r="B33" i="5"/>
  <c r="F33" i="5" l="1"/>
  <c r="C33" i="5"/>
  <c r="B34" i="5"/>
  <c r="F34" i="5" l="1"/>
  <c r="C34" i="5"/>
  <c r="B35" i="5"/>
  <c r="F35" i="5" l="1"/>
  <c r="C35" i="5"/>
  <c r="B36" i="5"/>
  <c r="F36" i="5" l="1"/>
  <c r="C36" i="5"/>
  <c r="B37" i="5"/>
  <c r="F37" i="5" l="1"/>
  <c r="C37" i="5"/>
  <c r="B38" i="5"/>
  <c r="F38" i="5" l="1"/>
  <c r="C38" i="5"/>
  <c r="B39" i="5"/>
  <c r="F39" i="5" l="1"/>
  <c r="C39" i="5"/>
  <c r="B40" i="5"/>
  <c r="F40" i="5" l="1"/>
  <c r="C40" i="5"/>
  <c r="B41" i="5"/>
  <c r="F41" i="5" l="1"/>
  <c r="C41" i="5"/>
  <c r="B42" i="5"/>
  <c r="F42" i="5" l="1"/>
  <c r="C42" i="5"/>
  <c r="B43" i="5"/>
  <c r="F43" i="5" l="1"/>
  <c r="C43" i="5"/>
  <c r="B44" i="5"/>
  <c r="F44" i="5" l="1"/>
  <c r="C44" i="5"/>
  <c r="B45" i="5"/>
  <c r="F45" i="5" l="1"/>
  <c r="C45" i="5"/>
  <c r="B17" i="3" l="1"/>
  <c r="D8" i="5" l="1"/>
  <c r="E8" i="5" l="1"/>
  <c r="G8" i="5" s="1"/>
  <c r="H8" i="5" l="1"/>
  <c r="D9" i="5" s="1"/>
  <c r="E9" i="5" l="1"/>
  <c r="G9" i="5" s="1"/>
  <c r="H9" i="5" l="1"/>
  <c r="D10" i="5" s="1"/>
  <c r="E10" i="5" l="1"/>
  <c r="G10" i="5" s="1"/>
  <c r="H10" i="5" l="1"/>
  <c r="D11" i="5" s="1"/>
  <c r="E11" i="5" l="1"/>
  <c r="G11" i="5" s="1"/>
  <c r="H11" i="5" l="1"/>
  <c r="D12" i="5" s="1"/>
  <c r="E12" i="5" l="1"/>
  <c r="G12" i="5" s="1"/>
  <c r="H12" i="5" s="1"/>
  <c r="D13" i="5" s="1"/>
  <c r="E13" i="5" l="1"/>
  <c r="G13" i="5" s="1"/>
  <c r="H13" i="5" l="1"/>
  <c r="D14" i="5" s="1"/>
  <c r="E14" i="5" l="1"/>
  <c r="G14" i="5" s="1"/>
  <c r="H14" i="5" l="1"/>
  <c r="D15" i="5" s="1"/>
  <c r="E15" i="5" l="1"/>
  <c r="G15" i="5" s="1"/>
  <c r="H15" i="5" l="1"/>
  <c r="D16" i="5" s="1"/>
  <c r="E16" i="5" l="1"/>
  <c r="G16" i="5" s="1"/>
  <c r="H16" i="5" s="1"/>
  <c r="D17" i="5" s="1"/>
  <c r="E17" i="5" l="1"/>
  <c r="G17" i="5" l="1"/>
  <c r="H17" i="5" s="1"/>
  <c r="D18" i="5" s="1"/>
  <c r="E18" i="5" l="1"/>
  <c r="G18" i="5" l="1"/>
  <c r="H18" i="5" s="1"/>
  <c r="D19" i="5" s="1"/>
  <c r="E19" i="5" l="1"/>
  <c r="G19" i="5" l="1"/>
  <c r="H19" i="5" s="1"/>
  <c r="D20" i="5" l="1"/>
  <c r="E20" i="5" l="1"/>
  <c r="G20" i="5" s="1"/>
  <c r="H20" i="5" l="1"/>
  <c r="D21" i="5" l="1"/>
  <c r="E21" i="5" s="1"/>
  <c r="G21" i="5" s="1"/>
  <c r="H21" i="5" l="1"/>
  <c r="D22" i="5" l="1"/>
  <c r="E22" i="5" s="1"/>
  <c r="G22" i="5" l="1"/>
  <c r="H22" i="5" l="1"/>
  <c r="D23" i="5" l="1"/>
  <c r="E23" i="5" s="1"/>
  <c r="G23" i="5" l="1"/>
  <c r="H23" i="5" s="1"/>
  <c r="D24" i="5" l="1"/>
  <c r="E24" i="5" l="1"/>
  <c r="G24" i="5" l="1"/>
  <c r="H24" i="5" s="1"/>
  <c r="D25" i="5" l="1"/>
  <c r="E25" i="5" s="1"/>
  <c r="G25" i="5" l="1"/>
  <c r="H25" i="5" s="1"/>
  <c r="D26" i="5" l="1"/>
  <c r="E26" i="5" s="1"/>
  <c r="G26" i="5" l="1"/>
  <c r="H26" i="5" s="1"/>
  <c r="D27" i="5" l="1"/>
  <c r="E27" i="5" s="1"/>
  <c r="G27" i="5" l="1"/>
  <c r="H27" i="5" l="1"/>
  <c r="D28" i="5" s="1"/>
  <c r="E28" i="5" l="1"/>
  <c r="G28" i="5" l="1"/>
  <c r="H28" i="5" s="1"/>
  <c r="D29" i="5" l="1"/>
  <c r="E29" i="5" s="1"/>
  <c r="G29" i="5" l="1"/>
  <c r="H29" i="5" s="1"/>
  <c r="D30" i="5" l="1"/>
  <c r="E30" i="5" s="1"/>
  <c r="G30" i="5" l="1"/>
  <c r="H30" i="5" s="1"/>
  <c r="D31" i="5" l="1"/>
  <c r="E31" i="5" s="1"/>
  <c r="G31" i="5" l="1"/>
  <c r="H31" i="5" s="1"/>
  <c r="D32" i="5" l="1"/>
  <c r="E32" i="5" s="1"/>
  <c r="G32" i="5" l="1"/>
  <c r="H32" i="5" s="1"/>
  <c r="D33" i="5" l="1"/>
  <c r="E33" i="5" s="1"/>
  <c r="G33" i="5" l="1"/>
  <c r="H33" i="5" s="1"/>
  <c r="D34" i="5" l="1"/>
  <c r="E34" i="5" s="1"/>
  <c r="G34" i="5" l="1"/>
  <c r="H34" i="5" s="1"/>
  <c r="D35" i="5" l="1"/>
  <c r="E35" i="5" s="1"/>
  <c r="G35" i="5" l="1"/>
  <c r="H35" i="5" s="1"/>
  <c r="D36" i="5" l="1"/>
  <c r="E36" i="5" s="1"/>
  <c r="G36" i="5" l="1"/>
  <c r="H36" i="5" s="1"/>
  <c r="D37" i="5" l="1"/>
  <c r="E37" i="5" l="1"/>
  <c r="G37" i="5" l="1"/>
  <c r="H37" i="5" s="1"/>
  <c r="D38" i="5" s="1"/>
  <c r="E38" i="5" l="1"/>
  <c r="G38" i="5" l="1"/>
  <c r="H38" i="5" s="1"/>
  <c r="D39" i="5" l="1"/>
  <c r="E39" i="5" s="1"/>
  <c r="G39" i="5" s="1"/>
  <c r="H39" i="5" l="1"/>
  <c r="D40" i="5" s="1"/>
  <c r="E40" i="5" s="1"/>
  <c r="G40" i="5" l="1"/>
  <c r="H40" i="5" s="1"/>
  <c r="D41" i="5" l="1"/>
  <c r="E41" i="5" s="1"/>
  <c r="G41" i="5" l="1"/>
  <c r="H41" i="5" s="1"/>
  <c r="D42" i="5" l="1"/>
  <c r="E42" i="5" s="1"/>
  <c r="G42" i="5" l="1"/>
  <c r="H42" i="5" s="1"/>
  <c r="D43" i="5" l="1"/>
  <c r="E43" i="5" s="1"/>
  <c r="G43" i="5" l="1"/>
  <c r="H43" i="5" s="1"/>
  <c r="D44" i="5" l="1"/>
  <c r="E44" i="5" s="1"/>
  <c r="G44" i="5" l="1"/>
  <c r="H44" i="5" s="1"/>
  <c r="D45" i="5" l="1"/>
  <c r="E45" i="5" s="1"/>
  <c r="G45" i="5" l="1"/>
  <c r="H45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Andrew Fox</author>
  </authors>
  <commentList>
    <comment ref="F1" authorId="0" shapeId="0" xr:uid="{E35AF351-0E6D-4D8C-BD1F-97A75281AE76}">
      <text>
        <r>
          <rPr>
            <b/>
            <sz val="9"/>
            <color indexed="81"/>
            <rFont val="Tahoma"/>
            <family val="2"/>
          </rPr>
          <t>Andrew Fox:</t>
        </r>
        <r>
          <rPr>
            <sz val="9"/>
            <color indexed="81"/>
            <rFont val="Tahoma"/>
            <family val="2"/>
          </rPr>
          <t xml:space="preserve">
Switched to Bloomberg US Treasury Interm in 1973</t>
        </r>
      </text>
    </comment>
    <comment ref="A3" authorId="0" shapeId="0" xr:uid="{49F0C355-727B-4EC4-835F-440C474B8BFB}">
      <text>
        <r>
          <rPr>
            <b/>
            <sz val="9"/>
            <color indexed="81"/>
            <rFont val="Tahoma"/>
            <family val="2"/>
          </rPr>
          <t>Andrew Fox:</t>
        </r>
        <r>
          <rPr>
            <sz val="9"/>
            <color indexed="81"/>
            <rFont val="Tahoma"/>
            <family val="2"/>
          </rPr>
          <t xml:space="preserve">
This is 1929 return from 9/1 (closest peak) to EOY only. I did this to best simulate "worst case scenario" until I can switch to monthly returns.</t>
        </r>
      </text>
    </comment>
  </commentList>
</comments>
</file>

<file path=xl/sharedStrings.xml><?xml version="1.0" encoding="utf-8"?>
<sst xmlns="http://schemas.openxmlformats.org/spreadsheetml/2006/main" count="91" uniqueCount="66">
  <si>
    <t>Year</t>
  </si>
  <si>
    <t>CPI/Inflation</t>
  </si>
  <si>
    <t>S&amp;P 500</t>
  </si>
  <si>
    <t>CRSP 1-10</t>
  </si>
  <si>
    <t>One-Month</t>
  </si>
  <si>
    <t>5 Year US</t>
  </si>
  <si>
    <t>CRSP 6-10</t>
  </si>
  <si>
    <t>F/F Intl</t>
  </si>
  <si>
    <t>DJ US REIT</t>
  </si>
  <si>
    <t>F/F Emg Mkts</t>
  </si>
  <si>
    <t xml:space="preserve"> T-Bills</t>
  </si>
  <si>
    <t>Treasuries</t>
  </si>
  <si>
    <t>Blended</t>
  </si>
  <si>
    <t>Return</t>
  </si>
  <si>
    <r>
      <t xml:space="preserve">F/F Intl </t>
    </r>
    <r>
      <rPr>
        <sz val="11"/>
        <color rgb="FFFF0000"/>
        <rFont val="Calibri"/>
        <family val="2"/>
      </rPr>
      <t>(*1975 start)</t>
    </r>
  </si>
  <si>
    <r>
      <t xml:space="preserve">DJ US REIT </t>
    </r>
    <r>
      <rPr>
        <sz val="11"/>
        <color rgb="FFFF0000"/>
        <rFont val="Calibri"/>
        <family val="2"/>
      </rPr>
      <t>(*1978 start)</t>
    </r>
  </si>
  <si>
    <r>
      <t xml:space="preserve">F/F Emg Mkts </t>
    </r>
    <r>
      <rPr>
        <sz val="11"/>
        <color rgb="FFFF0000"/>
        <rFont val="Calibri"/>
        <family val="2"/>
      </rPr>
      <t>(*1990 start)</t>
    </r>
  </si>
  <si>
    <t>Expenses and Mgmt Fee</t>
  </si>
  <si>
    <t>*Years prior default to CRSP 1-10</t>
  </si>
  <si>
    <t>Portfolio</t>
  </si>
  <si>
    <t>Beginning</t>
  </si>
  <si>
    <t>Annual Withdrawal</t>
  </si>
  <si>
    <t>Portfolio Return</t>
  </si>
  <si>
    <t>End</t>
  </si>
  <si>
    <t>Inflation</t>
  </si>
  <si>
    <t>of Year</t>
  </si>
  <si>
    <t>%</t>
  </si>
  <si>
    <t>$</t>
  </si>
  <si>
    <t>Initial Nest Egg Withdrawal</t>
  </si>
  <si>
    <t>Starting Nest Egg</t>
  </si>
  <si>
    <t>Expired yr</t>
  </si>
  <si>
    <t>Claude</t>
  </si>
  <si>
    <t>40 exhausted</t>
  </si>
  <si>
    <t>3.5 M</t>
  </si>
  <si>
    <t>12.0 M</t>
  </si>
  <si>
    <t>14.1 M</t>
  </si>
  <si>
    <t>5.0 M</t>
  </si>
  <si>
    <t>4.1 M</t>
  </si>
  <si>
    <t>5.3 M</t>
  </si>
  <si>
    <t>10.1 M</t>
  </si>
  <si>
    <t>11.6 M</t>
  </si>
  <si>
    <t>9.1 M</t>
  </si>
  <si>
    <t>6.8 M</t>
  </si>
  <si>
    <t>9.8 M</t>
  </si>
  <si>
    <t>12.2 M</t>
  </si>
  <si>
    <t>15.6 M</t>
  </si>
  <si>
    <t>14.8 M</t>
  </si>
  <si>
    <t>10.6 M</t>
  </si>
  <si>
    <t>11.1 M</t>
  </si>
  <si>
    <t>13.6 M</t>
  </si>
  <si>
    <t>4.9 M</t>
  </si>
  <si>
    <t>9.5 M</t>
  </si>
  <si>
    <t>37 exhausted</t>
  </si>
  <si>
    <t>6.1 M</t>
  </si>
  <si>
    <t>19.7 M</t>
  </si>
  <si>
    <t>12.1 M</t>
  </si>
  <si>
    <t>8.7 M</t>
  </si>
  <si>
    <t>13.4 M</t>
  </si>
  <si>
    <t>14.7 M</t>
  </si>
  <si>
    <t>13.2 M</t>
  </si>
  <si>
    <t>18.1 M</t>
  </si>
  <si>
    <t>11.4 M</t>
  </si>
  <si>
    <t>10.8 M</t>
  </si>
  <si>
    <t>12.7 M</t>
  </si>
  <si>
    <t>End 40 yr bal</t>
  </si>
  <si>
    <t>13.9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</si>
</sst>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0.0%"/>
    <numFmt numFmtId="165" formatCode="_(&quot;$&quot;* #,##0_);_(&quot;$&quot;* \(#,##0\);_(&quot;$&quot;* &quot;-&quot;??_);_(@_)"/>
  </numFmts>
  <fonts count="3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u/>
      <sz val="11"/>
      <color theme="1"/>
      <name val="Calibri"/>
      <family val="2"/>
    </font>
    <font>
      <sz val="11"/>
      <color rgb="FF00B050"/>
      <name val="Calibri"/>
      <family val="2"/>
    </font>
    <font>
      <sz val="11"/>
      <color rgb="FFFF0000"/>
      <name val="Calibri"/>
      <family val="2"/>
    </font>
    <font>
      <b/>
      <sz val="11"/>
      <color rgb="FF0070C0"/>
      <name val="Calibri"/>
      <family val="2"/>
    </font>
    <font>
      <b/>
      <sz val="11"/>
      <color rgb="FFFF0000"/>
      <name val="Calibri"/>
      <family val="2"/>
    </font>
    <font>
      <b/>
      <u/>
      <sz val="11"/>
      <color rgb="FF0070C0"/>
      <name val="Calibri"/>
      <family val="2"/>
    </font>
    <font>
      <b/>
      <u/>
      <sz val="11"/>
      <color theme="1"/>
      <name val="Calibri"/>
      <family val="2"/>
    </font>
    <font>
      <sz val="10"/>
      <name val="Arial"/>
      <family val="2"/>
    </font>
    <font>
      <sz val="10"/>
      <color theme="1"/>
      <name val="Aptos Narrow"/>
      <family val="2"/>
      <scheme val="minor"/>
    </font>
    <font>
      <b/>
      <sz val="11"/>
      <color rgb="FF000000"/>
      <name val="Calibri"/>
      <family val="2"/>
    </font>
    <font>
      <sz val="8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</font>
    <font>
      <u/>
      <sz val="11"/>
      <name val="Calibri"/>
      <family val="2"/>
    </font>
    <font>
      <sz val="8"/>
      <color theme="1"/>
      <name val="Calibri"/>
      <family val="2"/>
    </font>
    <font>
      <b/>
      <sz val="14"/>
      <color theme="1"/>
      <name val="Calibri"/>
      <family val="2"/>
    </font>
    <font>
      <sz val="14"/>
      <color theme="1"/>
      <name val="Calibri"/>
      <family val="2"/>
    </font>
    <font>
      <sz val="14"/>
      <name val="Calibri"/>
      <family val="2"/>
    </font>
    <font>
      <b/>
      <sz val="14"/>
      <color theme="9"/>
      <name val="Calibri"/>
      <family val="2"/>
    </font>
    <font>
      <b/>
      <sz val="14"/>
      <color rgb="FF0070C0"/>
      <name val="Calibri"/>
      <family val="2"/>
    </font>
    <font>
      <sz val="11"/>
      <name val="Aptos Narrow"/>
      <family val="2"/>
      <scheme val="minor"/>
    </font>
    <font>
      <b/>
      <sz val="11"/>
      <name val="Calibri"/>
      <family val="2"/>
    </font>
    <font>
      <b/>
      <u/>
      <sz val="11"/>
      <name val="Calibri"/>
      <family val="2"/>
    </font>
    <font>
      <b/>
      <sz val="20"/>
      <color theme="1"/>
      <name val="Calibri"/>
      <family val="2"/>
    </font>
    <font>
      <sz val="14"/>
      <color theme="1"/>
      <name val="Aptos Narrow"/>
      <family val="2"/>
      <scheme val="minor"/>
    </font>
    <font>
      <sz val="14"/>
      <color rgb="FFFF0000"/>
      <name val="Calibri"/>
      <family val="2"/>
    </font>
    <font>
      <sz val="14"/>
      <color rgb="FFFF0000"/>
      <name val="Aptos Narrow"/>
      <family val="2"/>
      <scheme val="minor"/>
    </font>
    <font>
      <sz val="14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</fills>
  <borders count="1">
    <border>
      <left/>
      <right/>
      <top/>
      <bottom/>
      <diagonal/>
    </border>
  </borders>
  <cellStyleXfs count="9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2" fillId="0" borderId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12" fillId="0" borderId="0"/>
  </cellStyleXfs>
  <cellXfs count="69">
    <xf numFmtId="0" fontId="0" fillId="0" borderId="0" xfId="0"/>
    <xf numFmtId="0" fontId="2" fillId="0" borderId="0" xfId="0" applyFont="1"/>
    <xf numFmtId="10" fontId="3" fillId="0" borderId="0" xfId="2" applyNumberFormat="1" applyFont="1"/>
    <xf numFmtId="0" fontId="4" fillId="0" borderId="0" xfId="0" applyFont="1"/>
    <xf numFmtId="0" fontId="3" fillId="0" borderId="0" xfId="0" applyFont="1"/>
    <xf numFmtId="0" fontId="5" fillId="0" borderId="0" xfId="0" applyFont="1"/>
    <xf numFmtId="0" fontId="8" fillId="0" borderId="0" xfId="0" applyFont="1"/>
    <xf numFmtId="0" fontId="9" fillId="0" borderId="0" xfId="0" applyFont="1"/>
    <xf numFmtId="9" fontId="3" fillId="0" borderId="0" xfId="2" applyFont="1"/>
    <xf numFmtId="9" fontId="4" fillId="0" borderId="0" xfId="2" applyFont="1"/>
    <xf numFmtId="9" fontId="5" fillId="0" borderId="0" xfId="2" applyFont="1"/>
    <xf numFmtId="9" fontId="11" fillId="0" borderId="0" xfId="2" applyFont="1"/>
    <xf numFmtId="165" fontId="3" fillId="0" borderId="0" xfId="1" applyNumberFormat="1" applyFont="1"/>
    <xf numFmtId="0" fontId="13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5" fontId="6" fillId="0" borderId="0" xfId="1" applyNumberFormat="1" applyFont="1"/>
    <xf numFmtId="10" fontId="8" fillId="0" borderId="0" xfId="0" applyNumberFormat="1" applyFont="1"/>
    <xf numFmtId="0" fontId="2" fillId="0" borderId="0" xfId="0" applyFont="1" applyAlignment="1">
      <alignment horizontal="center"/>
    </xf>
    <xf numFmtId="0" fontId="18" fillId="0" borderId="0" xfId="3" applyFont="1"/>
    <xf numFmtId="0" fontId="18" fillId="0" borderId="0" xfId="3" applyFont="1" applyAlignment="1">
      <alignment horizontal="center"/>
    </xf>
    <xf numFmtId="0" fontId="19" fillId="0" borderId="0" xfId="3" applyFont="1" applyAlignment="1">
      <alignment horizontal="center"/>
    </xf>
    <xf numFmtId="164" fontId="20" fillId="0" borderId="0" xfId="2" applyNumberFormat="1" applyFont="1" applyAlignment="1">
      <alignment horizontal="center"/>
    </xf>
    <xf numFmtId="164" fontId="4" fillId="0" borderId="0" xfId="0" applyNumberFormat="1" applyFont="1"/>
    <xf numFmtId="164" fontId="18" fillId="0" borderId="0" xfId="2" applyNumberFormat="1" applyFont="1"/>
    <xf numFmtId="164" fontId="19" fillId="0" borderId="0" xfId="2" applyNumberFormat="1" applyFont="1"/>
    <xf numFmtId="9" fontId="18" fillId="0" borderId="0" xfId="2" applyFont="1" applyAlignment="1">
      <alignment horizontal="right"/>
    </xf>
    <xf numFmtId="9" fontId="8" fillId="0" borderId="0" xfId="2" applyFont="1" applyAlignment="1">
      <alignment horizontal="left"/>
    </xf>
    <xf numFmtId="9" fontId="10" fillId="0" borderId="0" xfId="2" applyFont="1" applyAlignment="1">
      <alignment horizontal="left"/>
    </xf>
    <xf numFmtId="9" fontId="8" fillId="0" borderId="0" xfId="0" applyNumberFormat="1" applyFont="1" applyAlignment="1">
      <alignment horizontal="left"/>
    </xf>
    <xf numFmtId="0" fontId="21" fillId="0" borderId="0" xfId="0" applyFont="1"/>
    <xf numFmtId="165" fontId="22" fillId="0" borderId="0" xfId="1" applyNumberFormat="1" applyFont="1"/>
    <xf numFmtId="0" fontId="22" fillId="0" borderId="0" xfId="0" applyFont="1" applyAlignment="1">
      <alignment horizontal="left"/>
    </xf>
    <xf numFmtId="165" fontId="23" fillId="0" borderId="0" xfId="1" applyNumberFormat="1" applyFont="1"/>
    <xf numFmtId="10" fontId="0" fillId="0" borderId="0" xfId="2" applyNumberFormat="1" applyFont="1"/>
    <xf numFmtId="9" fontId="22" fillId="0" borderId="0" xfId="2" applyFont="1"/>
    <xf numFmtId="10" fontId="26" fillId="0" borderId="0" xfId="2" applyNumberFormat="1" applyFont="1"/>
    <xf numFmtId="0" fontId="24" fillId="0" borderId="0" xfId="0" applyFont="1"/>
    <xf numFmtId="0" fontId="27" fillId="0" borderId="0" xfId="0" applyFont="1"/>
    <xf numFmtId="10" fontId="25" fillId="0" borderId="0" xfId="2" applyNumberFormat="1" applyFont="1" applyFill="1"/>
    <xf numFmtId="9" fontId="27" fillId="0" borderId="0" xfId="2" applyFont="1" applyFill="1"/>
    <xf numFmtId="9" fontId="28" fillId="0" borderId="0" xfId="2" applyFont="1" applyFill="1"/>
    <xf numFmtId="0" fontId="3" fillId="0" borderId="0" xfId="0" applyFont="1" applyAlignment="1">
      <alignment horizontal="right"/>
    </xf>
    <xf numFmtId="0" fontId="29" fillId="0" borderId="0" xfId="0" applyFont="1"/>
    <xf numFmtId="0" fontId="23" fillId="0" borderId="0" xfId="0" applyFont="1" applyAlignment="1">
      <alignment horizontal="center"/>
    </xf>
    <xf numFmtId="9" fontId="23" fillId="0" borderId="0" xfId="2" applyFont="1" applyFill="1" applyAlignment="1">
      <alignment horizontal="center"/>
    </xf>
    <xf numFmtId="0" fontId="18" fillId="0" borderId="0" xfId="0" applyFont="1"/>
    <xf numFmtId="165" fontId="18" fillId="2" borderId="0" xfId="1" applyNumberFormat="1" applyFont="1" applyFill="1"/>
    <xf numFmtId="10" fontId="18" fillId="0" borderId="0" xfId="2" applyNumberFormat="1" applyFont="1" applyFill="1"/>
    <xf numFmtId="10" fontId="7" fillId="0" borderId="0" xfId="2" applyNumberFormat="1" applyFont="1"/>
    <xf numFmtId="1" fontId="23" fillId="0" borderId="0" xfId="1" applyNumberFormat="1" applyFont="1"/>
    <xf numFmtId="1" fontId="22" fillId="0" borderId="0" xfId="0" applyNumberFormat="1" applyFont="1"/>
    <xf numFmtId="1" fontId="30" fillId="0" borderId="0" xfId="0" applyNumberFormat="1" applyFont="1"/>
    <xf numFmtId="0" fontId="22" fillId="0" borderId="0" xfId="0" applyFont="1"/>
    <xf numFmtId="165" fontId="21" fillId="0" borderId="0" xfId="2" applyNumberFormat="1" applyFont="1"/>
    <xf numFmtId="1" fontId="22" fillId="0" borderId="0" xfId="2" applyNumberFormat="1" applyFont="1" applyAlignment="1">
      <alignment horizontal="center"/>
    </xf>
    <xf numFmtId="165" fontId="22" fillId="0" borderId="0" xfId="0" applyNumberFormat="1" applyFont="1"/>
    <xf numFmtId="165" fontId="30" fillId="0" borderId="0" xfId="0" applyNumberFormat="1" applyFont="1" applyAlignment="1">
      <alignment horizontal="center"/>
    </xf>
    <xf numFmtId="165" fontId="30" fillId="0" borderId="0" xfId="2" applyNumberFormat="1" applyFont="1"/>
    <xf numFmtId="1" fontId="22" fillId="0" borderId="0" xfId="0" applyNumberFormat="1" applyFont="1" applyAlignment="1">
      <alignment horizontal="center"/>
    </xf>
    <xf numFmtId="1" fontId="30" fillId="0" borderId="0" xfId="0" applyNumberFormat="1" applyFont="1" applyAlignment="1">
      <alignment horizontal="center"/>
    </xf>
    <xf numFmtId="1" fontId="30" fillId="0" borderId="0" xfId="2" applyNumberFormat="1" applyFont="1" applyAlignment="1">
      <alignment horizontal="center"/>
    </xf>
    <xf numFmtId="10" fontId="22" fillId="0" borderId="0" xfId="2" applyNumberFormat="1" applyFont="1" applyAlignment="1">
      <alignment horizontal="center"/>
    </xf>
    <xf numFmtId="0" fontId="31" fillId="0" borderId="0" xfId="0" applyFont="1" applyAlignment="1">
      <alignment horizontal="center"/>
    </xf>
    <xf numFmtId="0" fontId="32" fillId="0" borderId="0" xfId="2" applyNumberFormat="1" applyFont="1" applyAlignment="1">
      <alignment horizontal="center"/>
    </xf>
    <xf numFmtId="165" fontId="23" fillId="0" borderId="0" xfId="1" applyNumberFormat="1" applyFont="1" applyAlignment="1">
      <alignment horizontal="right"/>
    </xf>
    <xf numFmtId="0" fontId="19" fillId="0" borderId="0" xfId="3" applyFont="1" applyAlignment="1">
      <alignment horizontal="center"/>
    </xf>
    <xf numFmtId="0" fontId="33" fillId="0" borderId="0" xfId="0" applyFont="1" applyAlignment="1">
      <alignment horizontal="center"/>
    </xf>
    <xf numFmtId="0" fontId="33" fillId="0" borderId="0" xfId="2" applyNumberFormat="1" applyFont="1" applyAlignment="1">
      <alignment horizontal="center"/>
    </xf>
    <xf numFmtId="165" fontId="23" fillId="0" borderId="0" xfId="0" applyNumberFormat="1" applyFont="1"/>
  </cellXfs>
  <cellStyles count="9">
    <cellStyle name="Currency" xfId="1" builtinId="4"/>
    <cellStyle name="Currency 2" xfId="5" xr:uid="{F50AD4FC-09AD-4536-A008-151714BB7CA3}"/>
    <cellStyle name="Normal" xfId="0" builtinId="0"/>
    <cellStyle name="Normal 2" xfId="3" xr:uid="{599D6044-D97B-466F-BCFE-7844F9075038}"/>
    <cellStyle name="Normal 2 2" xfId="4" xr:uid="{0155252A-1026-41B3-BA9F-E6E688A9FECC}"/>
    <cellStyle name="Normal 3" xfId="8" xr:uid="{F8AA3D5D-9451-4E76-B6A0-5DE8611AFE14}"/>
    <cellStyle name="Percent" xfId="2" builtinId="5"/>
    <cellStyle name="Percent 2" xfId="6" xr:uid="{662E9951-6ACA-45AA-AECD-244C94D83DF1}"/>
    <cellStyle name="Percent 3" xfId="7" xr:uid="{A8104F75-BA0C-4144-B9F6-7415EC89509C}"/>
  </cellStyles>
  <dxfs count="0"/>
  <tableStyles count="0" defaultTableStyle="TableStyleMedium2" defaultPivotStyle="PivotStyleLight16"/>
  <colors>
    <mruColors>
      <color rgb="FFFFFF99"/>
      <color rgb="FFFFFF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178615635771519E-2"/>
          <c:y val="2.5910780446772856E-2"/>
          <c:w val="0.87307232578182281"/>
          <c:h val="0.84885402146970834"/>
        </c:manualLayout>
      </c:layout>
      <c:lineChart>
        <c:grouping val="standard"/>
        <c:varyColors val="0"/>
        <c:ser>
          <c:idx val="0"/>
          <c:order val="0"/>
          <c:tx>
            <c:strRef>
              <c:f>'Calcs and Formulas'!$D$1</c:f>
              <c:strCache>
                <c:ptCount val="1"/>
                <c:pt idx="0">
                  <c:v>Portfolio</c:v>
                </c:pt>
              </c:strCache>
            </c:strRef>
          </c:tx>
          <c:spPr>
            <a:ln w="508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val>
            <c:numRef>
              <c:f>'Calcs and Formulas'!$D$6:$D$45</c:f>
              <c:numCache>
                <c:formatCode>_("$"* #,##0_);_("$"* \(#,##0\);_("$"* "-"??_);_(@_)</c:formatCode>
                <c:ptCount val="40"/>
                <c:pt idx="0">
                  <c:v>1000000</c:v>
                </c:pt>
                <c:pt idx="1">
                  <c:v>766357.53457300691</c:v>
                </c:pt>
                <c:pt idx="2">
                  <c:v>491584.30975740618</c:v>
                </c:pt>
                <c:pt idx="3">
                  <c:v>436428.91293431952</c:v>
                </c:pt>
                <c:pt idx="4">
                  <c:v>579154.3753144684</c:v>
                </c:pt>
                <c:pt idx="5">
                  <c:v>575380.03601039608</c:v>
                </c:pt>
                <c:pt idx="6">
                  <c:v>720937.01068638696</c:v>
                </c:pt>
                <c:pt idx="7">
                  <c:v>850811.47178505477</c:v>
                </c:pt>
                <c:pt idx="8">
                  <c:v>606354.04164923797</c:v>
                </c:pt>
                <c:pt idx="9">
                  <c:v>691694.93146431795</c:v>
                </c:pt>
                <c:pt idx="10">
                  <c:v>672050.8121749881</c:v>
                </c:pt>
                <c:pt idx="11">
                  <c:v>605204.6978187632</c:v>
                </c:pt>
                <c:pt idx="12">
                  <c:v>525782.13991556829</c:v>
                </c:pt>
                <c:pt idx="13">
                  <c:v>544892.75620448485</c:v>
                </c:pt>
                <c:pt idx="14">
                  <c:v>613543.81580180302</c:v>
                </c:pt>
                <c:pt idx="15">
                  <c:v>662559.31945124001</c:v>
                </c:pt>
                <c:pt idx="16">
                  <c:v>794474.31009545736</c:v>
                </c:pt>
                <c:pt idx="17">
                  <c:v>710510.3492524277</c:v>
                </c:pt>
                <c:pt idx="18">
                  <c:v>668421.62010452931</c:v>
                </c:pt>
                <c:pt idx="19">
                  <c:v>616527.37563270447</c:v>
                </c:pt>
                <c:pt idx="20">
                  <c:v>636979.44486274139</c:v>
                </c:pt>
                <c:pt idx="21">
                  <c:v>699880.55986671511</c:v>
                </c:pt>
                <c:pt idx="22">
                  <c:v>725796.19304372917</c:v>
                </c:pt>
                <c:pt idx="23">
                  <c:v>720259.48456311633</c:v>
                </c:pt>
                <c:pt idx="24">
                  <c:v>657802.59402614133</c:v>
                </c:pt>
                <c:pt idx="25">
                  <c:v>803448.21342933085</c:v>
                </c:pt>
                <c:pt idx="26">
                  <c:v>860973.67393663072</c:v>
                </c:pt>
                <c:pt idx="27">
                  <c:v>834430.97833121708</c:v>
                </c:pt>
                <c:pt idx="28">
                  <c:v>720031.31269114802</c:v>
                </c:pt>
                <c:pt idx="29">
                  <c:v>857213.67163628677</c:v>
                </c:pt>
                <c:pt idx="30">
                  <c:v>853071.22159648023</c:v>
                </c:pt>
                <c:pt idx="31">
                  <c:v>803686.30467572529</c:v>
                </c:pt>
                <c:pt idx="32">
                  <c:v>869385.55290999543</c:v>
                </c:pt>
                <c:pt idx="33">
                  <c:v>742124.94705339323</c:v>
                </c:pt>
                <c:pt idx="34">
                  <c:v>764137.17338058644</c:v>
                </c:pt>
                <c:pt idx="35">
                  <c:v>770704.98715599393</c:v>
                </c:pt>
                <c:pt idx="36">
                  <c:v>771859.08542579075</c:v>
                </c:pt>
                <c:pt idx="37">
                  <c:v>657160.01987473993</c:v>
                </c:pt>
                <c:pt idx="38">
                  <c:v>708354.00618934177</c:v>
                </c:pt>
                <c:pt idx="39">
                  <c:v>701279.64945405105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A7-4781-A239-65E32E3DC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5374479"/>
        <c:axId val="1735375439"/>
      </c:lineChart>
      <c:lineChart>
        <c:grouping val="standard"/>
        <c:varyColors val="0"/>
        <c:ser>
          <c:idx val="1"/>
          <c:order val="1"/>
          <c:tx>
            <c:strRef>
              <c:f>'Calcs and Formulas'!$E$2</c:f>
              <c:strCache>
                <c:ptCount val="1"/>
                <c:pt idx="0">
                  <c:v>Annual Withdrawal</c:v>
                </c:pt>
              </c:strCache>
            </c:strRef>
          </c:tx>
          <c:spPr>
            <a:ln w="508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'Calcs and Formulas'!$E$6:$E$45</c:f>
              <c:numCache>
                <c:formatCode>_("$"* #,##0_);_("$"* \(#,##0\);_("$"* "-"??_);_(@_)</c:formatCode>
                <c:ptCount val="40"/>
                <c:pt idx="0">
                  <c:v>40000</c:v>
                </c:pt>
                <c:pt idx="1">
                  <c:v>37441.860509795777</c:v>
                </c:pt>
                <c:pt idx="2">
                  <c:v>33953.488416055035</c:v>
                </c:pt>
                <c:pt idx="3">
                  <c:v>30465.116316088559</c:v>
                </c:pt>
                <c:pt idx="4">
                  <c:v>30697.674442496489</c:v>
                </c:pt>
                <c:pt idx="5">
                  <c:v>31162.790749488253</c:v>
                </c:pt>
                <c:pt idx="6">
                  <c:v>32093.023288562916</c:v>
                </c:pt>
                <c:pt idx="7">
                  <c:v>32558.139578449813</c:v>
                </c:pt>
                <c:pt idx="8">
                  <c:v>33488.372150556286</c:v>
                </c:pt>
                <c:pt idx="9">
                  <c:v>32558.13955555324</c:v>
                </c:pt>
                <c:pt idx="10">
                  <c:v>32558.139519686334</c:v>
                </c:pt>
                <c:pt idx="11">
                  <c:v>32790.697653591553</c:v>
                </c:pt>
                <c:pt idx="12">
                  <c:v>36046.51161533979</c:v>
                </c:pt>
                <c:pt idx="13">
                  <c:v>39302.325568431435</c:v>
                </c:pt>
                <c:pt idx="14">
                  <c:v>40465.116250909246</c:v>
                </c:pt>
                <c:pt idx="15">
                  <c:v>41395.348814700148</c:v>
                </c:pt>
                <c:pt idx="16">
                  <c:v>42325.58138234647</c:v>
                </c:pt>
                <c:pt idx="17">
                  <c:v>50000.000020241612</c:v>
                </c:pt>
                <c:pt idx="18">
                  <c:v>54418.604667396918</c:v>
                </c:pt>
                <c:pt idx="19">
                  <c:v>56046.51171281498</c:v>
                </c:pt>
                <c:pt idx="20">
                  <c:v>54883.721056318202</c:v>
                </c:pt>
                <c:pt idx="21">
                  <c:v>58139.534964072176</c:v>
                </c:pt>
                <c:pt idx="22">
                  <c:v>61627.907177120105</c:v>
                </c:pt>
                <c:pt idx="23">
                  <c:v>62093.023447832362</c:v>
                </c:pt>
                <c:pt idx="24">
                  <c:v>62558.139690925025</c:v>
                </c:pt>
                <c:pt idx="25">
                  <c:v>62093.02342565469</c:v>
                </c:pt>
                <c:pt idx="26">
                  <c:v>62325.581533798359</c:v>
                </c:pt>
                <c:pt idx="27">
                  <c:v>64186.046636091232</c:v>
                </c:pt>
                <c:pt idx="28">
                  <c:v>66046.511716408393</c:v>
                </c:pt>
                <c:pt idx="29">
                  <c:v>67209.302466492358</c:v>
                </c:pt>
                <c:pt idx="30">
                  <c:v>68372.093223823584</c:v>
                </c:pt>
                <c:pt idx="31">
                  <c:v>69302.325815605072</c:v>
                </c:pt>
                <c:pt idx="32">
                  <c:v>69767.442119580315</c:v>
                </c:pt>
                <c:pt idx="33">
                  <c:v>70697.674626164153</c:v>
                </c:pt>
                <c:pt idx="34">
                  <c:v>71860.465377247019</c:v>
                </c:pt>
                <c:pt idx="35">
                  <c:v>72558.13973637551</c:v>
                </c:pt>
                <c:pt idx="36">
                  <c:v>73953.48856043542</c:v>
                </c:pt>
                <c:pt idx="37">
                  <c:v>76511.62811238326</c:v>
                </c:pt>
                <c:pt idx="38">
                  <c:v>78837.209517798678</c:v>
                </c:pt>
                <c:pt idx="39">
                  <c:v>82558.139858736991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A3A7-4781-A239-65E32E3DC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72363647"/>
        <c:axId val="1272364607"/>
      </c:lineChart>
      <c:catAx>
        <c:axId val="17353744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1"/>
                  <a:t>Year</a:t>
                </a:r>
              </a:p>
            </c:rich>
          </c:tx>
          <c:layout>
            <c:manualLayout>
              <c:xMode val="edge"/>
              <c:yMode val="edge"/>
              <c:x val="0.48515569076592696"/>
              <c:y val="0.930671329918711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5375439"/>
        <c:crosses val="autoZero"/>
        <c:auto val="1"/>
        <c:lblAlgn val="ctr"/>
        <c:lblOffset val="100"/>
        <c:noMultiLvlLbl val="0"/>
      </c:catAx>
      <c:valAx>
        <c:axId val="1735375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5374479"/>
        <c:crosses val="autoZero"/>
        <c:crossBetween val="between"/>
      </c:valAx>
      <c:valAx>
        <c:axId val="1272364607"/>
        <c:scaling>
          <c:orientation val="minMax"/>
        </c:scaling>
        <c:delete val="0"/>
        <c:axPos val="r"/>
        <c:numFmt formatCode="_(&quot;$&quot;* #,##0_);_(&quot;$&quot;* \(#,##0\);_(&quot;$&quot;* &quot;-&quot;??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72363647"/>
        <c:crosses val="max"/>
        <c:crossBetween val="between"/>
      </c:valAx>
      <c:catAx>
        <c:axId val="1272363647"/>
        <c:scaling>
          <c:orientation val="minMax"/>
        </c:scaling>
        <c:delete val="1"/>
        <c:axPos val="b"/>
        <c:majorTickMark val="out"/>
        <c:minorTickMark val="none"/>
        <c:tickLblPos val="nextTo"/>
        <c:crossAx val="127236460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7895006495400193"/>
          <c:y val="9.567132991871162E-2"/>
          <c:w val="0.21748217078925738"/>
          <c:h val="2.73060163596055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141514</xdr:colOff>
          <xdr:row>2</xdr:row>
          <xdr:rowOff>190500</xdr:rowOff>
        </xdr:from>
        <xdr:to>
          <xdr:col>3</xdr:col>
          <xdr:colOff>538843</xdr:colOff>
          <xdr:row>4</xdr:row>
          <xdr:rowOff>87086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Next Calendar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48986</xdr:colOff>
          <xdr:row>4</xdr:row>
          <xdr:rowOff>163286</xdr:rowOff>
        </xdr:from>
        <xdr:to>
          <xdr:col>3</xdr:col>
          <xdr:colOff>587829</xdr:colOff>
          <xdr:row>6</xdr:row>
          <xdr:rowOff>65314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Previous Calendar Year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560614</xdr:colOff>
      <xdr:row>5</xdr:row>
      <xdr:rowOff>130629</xdr:rowOff>
    </xdr:from>
    <xdr:to>
      <xdr:col>25</xdr:col>
      <xdr:colOff>587828</xdr:colOff>
      <xdr:row>38</xdr:row>
      <xdr:rowOff>114301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9B33F2E-BB23-4D03-A4D2-F833B5272F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EFD9B6-5582-4B82-9F7F-B49F5D885A18}">
  <sheetPr codeName="Sheet1">
    <pageSetUpPr fitToPage="1"/>
  </sheetPr>
  <dimension ref="A1:Q84"/>
  <sheetViews>
    <sheetView tabSelected="1" zoomScaleNormal="100" workbookViewId="0">
      <selection activeCell="B3" sqref="B3"/>
    </sheetView>
  </sheetViews>
  <sheetFormatPr defaultColWidth="9" defaultRowHeight="14.6" x14ac:dyDescent="0.4"/>
  <cols>
    <col min="1" max="1" width="30.3046875" style="4" customWidth="1"/>
    <col min="2" max="2" width="16" style="4" bestFit="1" customWidth="1"/>
    <col min="3" max="3" width="12.765625" style="4" customWidth="1"/>
    <col min="4" max="4" width="16.765625" style="4" customWidth="1"/>
    <col min="5" max="5" width="14.765625" style="4" bestFit="1" customWidth="1"/>
    <col min="6" max="6" width="9.84375" style="4" customWidth="1"/>
    <col min="7" max="7" width="9" style="4"/>
    <col min="8" max="8" width="7.3828125" style="4" customWidth="1"/>
    <col min="9" max="19" width="9" style="4"/>
    <col min="20" max="20" width="10.84375" style="4" customWidth="1"/>
    <col min="21" max="16384" width="9" style="4"/>
  </cols>
  <sheetData>
    <row r="1" spans="1:17" ht="26.15" x14ac:dyDescent="0.7">
      <c r="A1" s="42"/>
    </row>
    <row r="3" spans="1:17" ht="18.45" x14ac:dyDescent="0.5">
      <c r="A3" s="4" t="s">
        <v>0</v>
      </c>
      <c r="B3" s="45">
        <v>1930</v>
      </c>
      <c r="F3" s="29"/>
      <c r="G3" s="3"/>
      <c r="H3" s="3"/>
      <c r="I3" s="3"/>
      <c r="J3" s="3"/>
      <c r="K3" s="3"/>
      <c r="L3" s="3"/>
      <c r="M3" s="3"/>
      <c r="N3" s="3"/>
      <c r="O3" s="3"/>
      <c r="P3" s="3"/>
      <c r="Q3" s="3"/>
    </row>
    <row r="4" spans="1:17" ht="18.45" x14ac:dyDescent="0.5">
      <c r="A4" s="4" t="s">
        <v>29</v>
      </c>
      <c r="B4" s="46">
        <v>1000000</v>
      </c>
      <c r="F4" s="3"/>
      <c r="G4" s="29"/>
      <c r="H4" s="3"/>
      <c r="I4" s="3"/>
      <c r="J4" s="3"/>
      <c r="K4" s="3"/>
      <c r="L4" s="3"/>
      <c r="M4" s="3"/>
      <c r="N4" s="3"/>
      <c r="O4" s="3"/>
      <c r="P4" s="3"/>
      <c r="Q4" s="3"/>
    </row>
    <row r="5" spans="1:17" ht="18.45" x14ac:dyDescent="0.5">
      <c r="A5" s="4" t="s">
        <v>28</v>
      </c>
      <c r="B5" s="46">
        <v>40000</v>
      </c>
      <c r="F5" s="3"/>
      <c r="G5" s="29"/>
      <c r="H5" s="3"/>
      <c r="I5" s="3"/>
      <c r="J5" s="3"/>
      <c r="K5" s="3"/>
      <c r="L5" s="3"/>
      <c r="M5" s="3"/>
      <c r="N5" s="3"/>
      <c r="O5" s="3"/>
      <c r="P5" s="3"/>
      <c r="Q5" s="3"/>
    </row>
    <row r="6" spans="1:17" x14ac:dyDescent="0.4">
      <c r="A6" s="4" t="s">
        <v>17</v>
      </c>
      <c r="B6" s="47">
        <f>1.2%*1</f>
        <v>1.2E-2</v>
      </c>
    </row>
    <row r="7" spans="1:17" ht="18.45" x14ac:dyDescent="0.5">
      <c r="F7" s="31"/>
      <c r="G7" s="43"/>
    </row>
    <row r="8" spans="1:17" x14ac:dyDescent="0.4">
      <c r="A8" s="5"/>
    </row>
    <row r="9" spans="1:17" x14ac:dyDescent="0.4">
      <c r="A9" s="4" t="s">
        <v>2</v>
      </c>
      <c r="B9" s="23">
        <v>0</v>
      </c>
      <c r="C9" s="21"/>
    </row>
    <row r="10" spans="1:17" x14ac:dyDescent="0.4">
      <c r="A10" s="4" t="s">
        <v>3</v>
      </c>
      <c r="B10" s="23">
        <v>0.31109999999999999</v>
      </c>
      <c r="C10" s="21"/>
      <c r="D10" s="8"/>
      <c r="G10" s="6"/>
      <c r="K10" s="8"/>
      <c r="L10" s="41"/>
    </row>
    <row r="11" spans="1:17" x14ac:dyDescent="0.4">
      <c r="A11" s="4" t="s">
        <v>4</v>
      </c>
      <c r="B11" s="23">
        <v>0.05</v>
      </c>
      <c r="C11" s="21"/>
      <c r="D11" s="8"/>
      <c r="E11" s="8"/>
      <c r="F11" s="25"/>
      <c r="G11" s="9"/>
      <c r="H11" s="26"/>
      <c r="J11" s="37"/>
      <c r="K11" s="39"/>
      <c r="L11" s="9"/>
    </row>
    <row r="12" spans="1:17" x14ac:dyDescent="0.4">
      <c r="A12" s="4" t="s">
        <v>5</v>
      </c>
      <c r="B12" s="23">
        <v>0.25000000000000006</v>
      </c>
      <c r="C12" s="21"/>
      <c r="D12" s="8"/>
      <c r="E12" s="8"/>
      <c r="F12" s="25"/>
      <c r="G12" s="9"/>
      <c r="H12" s="26"/>
      <c r="J12" s="37"/>
      <c r="K12" s="39"/>
      <c r="L12" s="8"/>
    </row>
    <row r="13" spans="1:17" x14ac:dyDescent="0.4">
      <c r="A13" s="4" t="s">
        <v>6</v>
      </c>
      <c r="B13" s="23">
        <v>5.4899999999999997E-2</v>
      </c>
      <c r="C13" s="8">
        <f>B9+B10+B13+B14+B16</f>
        <v>0.6</v>
      </c>
      <c r="E13" s="8"/>
      <c r="F13" s="25"/>
      <c r="G13" s="11"/>
      <c r="H13" s="27"/>
      <c r="J13" s="37"/>
      <c r="K13" s="39"/>
      <c r="L13" s="8"/>
    </row>
    <row r="14" spans="1:17" x14ac:dyDescent="0.4">
      <c r="A14" s="4" t="s">
        <v>14</v>
      </c>
      <c r="B14" s="23">
        <v>0.16200000000000001</v>
      </c>
      <c r="C14" s="8">
        <f>B12</f>
        <v>0.25000000000000006</v>
      </c>
      <c r="E14" s="8"/>
      <c r="G14" s="9"/>
      <c r="H14" s="28"/>
      <c r="J14" s="37"/>
      <c r="K14" s="40"/>
      <c r="L14" s="10"/>
    </row>
    <row r="15" spans="1:17" x14ac:dyDescent="0.4">
      <c r="A15" s="4" t="s">
        <v>15</v>
      </c>
      <c r="B15" s="23">
        <v>0.1</v>
      </c>
      <c r="C15" s="8">
        <f>B15</f>
        <v>0.1</v>
      </c>
      <c r="E15" s="8"/>
      <c r="G15" s="8"/>
      <c r="K15" s="8"/>
      <c r="L15" s="8"/>
    </row>
    <row r="16" spans="1:17" x14ac:dyDescent="0.4">
      <c r="A16" s="4" t="s">
        <v>16</v>
      </c>
      <c r="B16" s="24">
        <v>7.1999999999999995E-2</v>
      </c>
      <c r="C16" s="10">
        <f>B11</f>
        <v>0.05</v>
      </c>
      <c r="E16" s="10"/>
      <c r="G16" s="8"/>
      <c r="K16" s="9"/>
      <c r="L16" s="9"/>
    </row>
    <row r="17" spans="1:7" x14ac:dyDescent="0.4">
      <c r="B17" s="22">
        <f>SUM(B9:B16)</f>
        <v>0.99999999999999989</v>
      </c>
      <c r="C17" s="9">
        <f>SUM(C13:C16)</f>
        <v>1</v>
      </c>
      <c r="E17" s="8"/>
    </row>
    <row r="18" spans="1:7" x14ac:dyDescent="0.4">
      <c r="E18" s="9"/>
    </row>
    <row r="19" spans="1:7" x14ac:dyDescent="0.4">
      <c r="A19" s="7" t="s">
        <v>18</v>
      </c>
    </row>
    <row r="21" spans="1:7" ht="18.45" x14ac:dyDescent="0.5">
      <c r="A21" s="36"/>
      <c r="B21" s="30"/>
      <c r="C21" s="34"/>
      <c r="D21"/>
    </row>
    <row r="22" spans="1:7" ht="18.45" x14ac:dyDescent="0.5">
      <c r="A22" s="32"/>
      <c r="B22" s="64"/>
      <c r="C22" s="64"/>
      <c r="D22" s="64"/>
      <c r="E22" s="64"/>
      <c r="F22" s="64"/>
      <c r="G22" s="44"/>
    </row>
    <row r="23" spans="1:7" ht="18.45" x14ac:dyDescent="0.5">
      <c r="A23" s="38"/>
      <c r="B23" s="32"/>
      <c r="C23" s="61" t="s">
        <v>30</v>
      </c>
      <c r="D23" s="61" t="s">
        <v>64</v>
      </c>
      <c r="E23" s="62" t="s">
        <v>31</v>
      </c>
    </row>
    <row r="24" spans="1:7" ht="18.45" x14ac:dyDescent="0.5">
      <c r="A24" s="30"/>
      <c r="B24" s="49">
        <v>1929</v>
      </c>
      <c r="C24" s="54">
        <v>23</v>
      </c>
      <c r="D24" s="53"/>
      <c r="E24" s="43">
        <v>23</v>
      </c>
    </row>
    <row r="25" spans="1:7" ht="18.45" x14ac:dyDescent="0.5">
      <c r="B25" s="50">
        <f>B24+1</f>
        <v>1930</v>
      </c>
      <c r="C25" s="58"/>
      <c r="D25" s="55">
        <v>559874</v>
      </c>
      <c r="E25" s="62" t="s">
        <v>32</v>
      </c>
    </row>
    <row r="26" spans="1:7" ht="18.45" x14ac:dyDescent="0.5">
      <c r="B26" s="51">
        <f>B25+1</f>
        <v>1931</v>
      </c>
      <c r="C26" s="59"/>
      <c r="D26" s="56">
        <v>3469716</v>
      </c>
      <c r="E26" s="66" t="s">
        <v>33</v>
      </c>
    </row>
    <row r="27" spans="1:7" ht="18.45" x14ac:dyDescent="0.5">
      <c r="B27" s="51">
        <f t="shared" ref="B27:B81" si="0">B26+1</f>
        <v>1932</v>
      </c>
      <c r="C27" s="59"/>
      <c r="D27" s="56">
        <v>11971175</v>
      </c>
      <c r="E27" s="66" t="s">
        <v>34</v>
      </c>
    </row>
    <row r="28" spans="1:7" ht="18.45" x14ac:dyDescent="0.5">
      <c r="B28" s="51">
        <f t="shared" si="0"/>
        <v>1933</v>
      </c>
      <c r="C28" s="60"/>
      <c r="D28" s="57">
        <v>14066434.825638304</v>
      </c>
      <c r="E28" s="67" t="s">
        <v>35</v>
      </c>
    </row>
    <row r="29" spans="1:7" ht="18.45" x14ac:dyDescent="0.5">
      <c r="B29" s="51">
        <f t="shared" si="0"/>
        <v>1934</v>
      </c>
      <c r="C29" s="60"/>
      <c r="D29" s="57">
        <v>5041337</v>
      </c>
      <c r="E29" s="67" t="s">
        <v>36</v>
      </c>
    </row>
    <row r="30" spans="1:7" ht="18.45" x14ac:dyDescent="0.5">
      <c r="B30" s="51">
        <f t="shared" si="0"/>
        <v>1935</v>
      </c>
      <c r="C30" s="60"/>
      <c r="D30" s="57">
        <v>4083950</v>
      </c>
      <c r="E30" s="67" t="s">
        <v>37</v>
      </c>
    </row>
    <row r="31" spans="1:7" ht="18.45" x14ac:dyDescent="0.5">
      <c r="B31" s="51">
        <f t="shared" si="0"/>
        <v>1936</v>
      </c>
      <c r="C31" s="60"/>
      <c r="D31" s="57">
        <v>1480708</v>
      </c>
      <c r="E31" s="63" t="s">
        <v>32</v>
      </c>
    </row>
    <row r="32" spans="1:7" ht="18.45" x14ac:dyDescent="0.5">
      <c r="B32" s="51">
        <f t="shared" si="0"/>
        <v>1937</v>
      </c>
      <c r="C32" s="60">
        <v>36</v>
      </c>
      <c r="D32" s="57"/>
      <c r="E32" s="67">
        <v>36</v>
      </c>
    </row>
    <row r="33" spans="2:5" ht="18.45" x14ac:dyDescent="0.5">
      <c r="B33" s="51">
        <f t="shared" si="0"/>
        <v>1938</v>
      </c>
      <c r="C33" s="60"/>
      <c r="D33" s="57">
        <v>4962727</v>
      </c>
      <c r="E33" s="67" t="s">
        <v>36</v>
      </c>
    </row>
    <row r="34" spans="2:5" ht="18.45" x14ac:dyDescent="0.5">
      <c r="B34" s="51">
        <f t="shared" si="0"/>
        <v>1939</v>
      </c>
      <c r="C34" s="60"/>
      <c r="D34" s="57">
        <v>2040361</v>
      </c>
      <c r="E34" s="63" t="s">
        <v>32</v>
      </c>
    </row>
    <row r="35" spans="2:5" ht="18.45" x14ac:dyDescent="0.5">
      <c r="B35" s="51">
        <f t="shared" si="0"/>
        <v>1940</v>
      </c>
      <c r="C35" s="60"/>
      <c r="D35" s="57">
        <v>2625781</v>
      </c>
      <c r="E35" s="63" t="s">
        <v>32</v>
      </c>
    </row>
    <row r="36" spans="2:5" ht="18.45" x14ac:dyDescent="0.5">
      <c r="B36" s="51">
        <f t="shared" si="0"/>
        <v>1941</v>
      </c>
      <c r="C36" s="60"/>
      <c r="D36" s="57">
        <v>5530917</v>
      </c>
      <c r="E36" s="63" t="s">
        <v>38</v>
      </c>
    </row>
    <row r="37" spans="2:5" ht="18.45" x14ac:dyDescent="0.5">
      <c r="B37" s="51">
        <f t="shared" si="0"/>
        <v>1942</v>
      </c>
      <c r="C37" s="60"/>
      <c r="D37" s="57">
        <v>10802765</v>
      </c>
      <c r="E37" s="63" t="s">
        <v>39</v>
      </c>
    </row>
    <row r="38" spans="2:5" ht="18.45" x14ac:dyDescent="0.5">
      <c r="B38" s="51">
        <f t="shared" si="0"/>
        <v>1943</v>
      </c>
      <c r="C38" s="60"/>
      <c r="D38" s="57">
        <v>11955702</v>
      </c>
      <c r="E38" s="63" t="s">
        <v>40</v>
      </c>
    </row>
    <row r="39" spans="2:5" ht="18.45" x14ac:dyDescent="0.5">
      <c r="B39" s="51">
        <f t="shared" si="0"/>
        <v>1944</v>
      </c>
      <c r="C39" s="60"/>
      <c r="D39" s="57">
        <v>9482131</v>
      </c>
      <c r="E39" s="63" t="s">
        <v>41</v>
      </c>
    </row>
    <row r="40" spans="2:5" ht="18.45" x14ac:dyDescent="0.5">
      <c r="B40" s="51">
        <f t="shared" si="0"/>
        <v>1945</v>
      </c>
      <c r="C40" s="60"/>
      <c r="D40" s="57">
        <v>7318616</v>
      </c>
      <c r="E40" s="63" t="s">
        <v>42</v>
      </c>
    </row>
    <row r="41" spans="2:5" ht="18.45" x14ac:dyDescent="0.5">
      <c r="B41" s="51">
        <f t="shared" si="0"/>
        <v>1946</v>
      </c>
      <c r="C41" s="60"/>
      <c r="D41" s="57">
        <v>3157649</v>
      </c>
      <c r="E41" s="63" t="s">
        <v>32</v>
      </c>
    </row>
    <row r="42" spans="2:5" ht="18.45" x14ac:dyDescent="0.5">
      <c r="B42" s="51">
        <f t="shared" si="0"/>
        <v>1947</v>
      </c>
      <c r="C42" s="60"/>
      <c r="D42" s="57">
        <v>11404187</v>
      </c>
      <c r="E42" s="63" t="s">
        <v>43</v>
      </c>
    </row>
    <row r="43" spans="2:5" ht="18.45" x14ac:dyDescent="0.5">
      <c r="B43" s="51">
        <f t="shared" si="0"/>
        <v>1948</v>
      </c>
      <c r="C43" s="58"/>
      <c r="D43" s="55">
        <v>14628948</v>
      </c>
      <c r="E43" s="62" t="s">
        <v>44</v>
      </c>
    </row>
    <row r="44" spans="2:5" ht="18.45" x14ac:dyDescent="0.5">
      <c r="B44" s="51">
        <f t="shared" si="0"/>
        <v>1949</v>
      </c>
      <c r="C44" s="58"/>
      <c r="D44" s="68">
        <v>18770799</v>
      </c>
      <c r="E44" s="62" t="s">
        <v>45</v>
      </c>
    </row>
    <row r="45" spans="2:5" ht="18.45" x14ac:dyDescent="0.5">
      <c r="B45" s="51">
        <f t="shared" si="0"/>
        <v>1950</v>
      </c>
      <c r="C45" s="58"/>
      <c r="D45" s="55">
        <v>17139612</v>
      </c>
      <c r="E45" s="62" t="s">
        <v>46</v>
      </c>
    </row>
    <row r="46" spans="2:5" ht="18.45" x14ac:dyDescent="0.5">
      <c r="B46" s="51">
        <f t="shared" si="0"/>
        <v>1951</v>
      </c>
      <c r="C46" s="58"/>
      <c r="D46" s="55">
        <v>11770772</v>
      </c>
      <c r="E46" s="62" t="s">
        <v>47</v>
      </c>
    </row>
    <row r="47" spans="2:5" ht="18.45" x14ac:dyDescent="0.5">
      <c r="B47" s="51">
        <f t="shared" si="0"/>
        <v>1952</v>
      </c>
      <c r="C47" s="58"/>
      <c r="D47" s="55">
        <v>12543555</v>
      </c>
      <c r="E47" s="62" t="s">
        <v>40</v>
      </c>
    </row>
    <row r="48" spans="2:5" ht="18.45" x14ac:dyDescent="0.5">
      <c r="B48" s="51">
        <f t="shared" si="0"/>
        <v>1953</v>
      </c>
      <c r="C48" s="58"/>
      <c r="D48" s="55">
        <v>11641965.861418856</v>
      </c>
      <c r="E48" s="62" t="s">
        <v>48</v>
      </c>
    </row>
    <row r="49" spans="2:5" ht="18.45" x14ac:dyDescent="0.5">
      <c r="B49" s="51">
        <f t="shared" si="0"/>
        <v>1954</v>
      </c>
      <c r="C49" s="58"/>
      <c r="D49" s="55">
        <v>15414246</v>
      </c>
      <c r="E49" s="62" t="s">
        <v>49</v>
      </c>
    </row>
    <row r="50" spans="2:5" ht="18.45" x14ac:dyDescent="0.5">
      <c r="B50" s="51">
        <f t="shared" si="0"/>
        <v>1955</v>
      </c>
      <c r="C50" s="58"/>
      <c r="D50" s="55">
        <v>5918095</v>
      </c>
      <c r="E50" s="62" t="s">
        <v>50</v>
      </c>
    </row>
    <row r="51" spans="2:5" ht="18.45" x14ac:dyDescent="0.5">
      <c r="B51" s="51">
        <f t="shared" si="0"/>
        <v>1956</v>
      </c>
      <c r="C51" s="58"/>
      <c r="D51" s="55">
        <v>3283444</v>
      </c>
      <c r="E51" s="62" t="s">
        <v>32</v>
      </c>
    </row>
    <row r="52" spans="2:5" ht="18.45" x14ac:dyDescent="0.5">
      <c r="B52" s="51">
        <f t="shared" si="0"/>
        <v>1957</v>
      </c>
      <c r="C52" s="58"/>
      <c r="D52" s="55">
        <v>4237502</v>
      </c>
      <c r="E52" s="62" t="s">
        <v>32</v>
      </c>
    </row>
    <row r="53" spans="2:5" ht="18.45" x14ac:dyDescent="0.5">
      <c r="B53" s="51">
        <f t="shared" si="0"/>
        <v>1958</v>
      </c>
      <c r="C53" s="58"/>
      <c r="D53" s="55">
        <v>9651760</v>
      </c>
      <c r="E53" s="62" t="s">
        <v>51</v>
      </c>
    </row>
    <row r="54" spans="2:5" ht="18.45" x14ac:dyDescent="0.5">
      <c r="B54" s="51">
        <f t="shared" si="0"/>
        <v>1959</v>
      </c>
      <c r="C54" s="58"/>
      <c r="D54" s="55">
        <v>2046207</v>
      </c>
      <c r="E54" s="62" t="s">
        <v>32</v>
      </c>
    </row>
    <row r="55" spans="2:5" ht="18.45" x14ac:dyDescent="0.5">
      <c r="B55" s="51">
        <f t="shared" si="0"/>
        <v>1960</v>
      </c>
      <c r="C55" s="58"/>
      <c r="D55" s="55">
        <v>1412480</v>
      </c>
      <c r="E55" s="62" t="s">
        <v>32</v>
      </c>
    </row>
    <row r="56" spans="2:5" ht="18.45" x14ac:dyDescent="0.5">
      <c r="B56" s="51">
        <f t="shared" si="0"/>
        <v>1961</v>
      </c>
      <c r="C56" s="58"/>
      <c r="D56" s="55">
        <v>2167551</v>
      </c>
      <c r="E56" s="62" t="s">
        <v>32</v>
      </c>
    </row>
    <row r="57" spans="2:5" ht="18.45" x14ac:dyDescent="0.5">
      <c r="B57" s="51">
        <f>B56+1</f>
        <v>1962</v>
      </c>
      <c r="C57" s="58">
        <v>34</v>
      </c>
      <c r="D57" s="55"/>
      <c r="E57" s="62">
        <v>32</v>
      </c>
    </row>
    <row r="58" spans="2:5" ht="18.45" x14ac:dyDescent="0.5">
      <c r="B58" s="51">
        <f t="shared" si="0"/>
        <v>1963</v>
      </c>
      <c r="C58" s="58"/>
      <c r="D58" s="55">
        <v>1527011</v>
      </c>
      <c r="E58" s="62" t="s">
        <v>32</v>
      </c>
    </row>
    <row r="59" spans="2:5" ht="18.45" x14ac:dyDescent="0.5">
      <c r="B59" s="51">
        <f t="shared" si="0"/>
        <v>1964</v>
      </c>
      <c r="C59" s="58">
        <v>38</v>
      </c>
      <c r="D59" s="55"/>
      <c r="E59" s="62">
        <v>34</v>
      </c>
    </row>
    <row r="60" spans="2:5" ht="18.45" x14ac:dyDescent="0.5">
      <c r="B60" s="51">
        <f t="shared" si="0"/>
        <v>1965</v>
      </c>
      <c r="C60" s="58">
        <v>31</v>
      </c>
      <c r="D60" s="55"/>
      <c r="E60" s="62">
        <v>29</v>
      </c>
    </row>
    <row r="61" spans="2:5" ht="18.45" x14ac:dyDescent="0.5">
      <c r="B61" s="51">
        <f t="shared" si="0"/>
        <v>1966</v>
      </c>
      <c r="C61" s="58">
        <v>28</v>
      </c>
      <c r="D61" s="55"/>
      <c r="E61" s="62">
        <v>26</v>
      </c>
    </row>
    <row r="62" spans="2:5" ht="18.45" x14ac:dyDescent="0.5">
      <c r="B62" s="51">
        <f t="shared" si="0"/>
        <v>1967</v>
      </c>
      <c r="C62" s="58">
        <v>38</v>
      </c>
      <c r="D62" s="55"/>
      <c r="E62" s="62">
        <v>35</v>
      </c>
    </row>
    <row r="63" spans="2:5" ht="18.45" x14ac:dyDescent="0.5">
      <c r="B63" s="51">
        <f t="shared" si="0"/>
        <v>1968</v>
      </c>
      <c r="C63" s="58">
        <v>26</v>
      </c>
      <c r="D63" s="55"/>
      <c r="E63" s="62">
        <v>25</v>
      </c>
    </row>
    <row r="64" spans="2:5" ht="18.45" x14ac:dyDescent="0.5">
      <c r="B64" s="51">
        <f t="shared" si="0"/>
        <v>1969</v>
      </c>
      <c r="C64" s="58">
        <v>24</v>
      </c>
      <c r="D64" s="55"/>
      <c r="E64" s="62">
        <v>23</v>
      </c>
    </row>
    <row r="65" spans="2:5" ht="18.45" x14ac:dyDescent="0.5">
      <c r="B65" s="51">
        <f t="shared" si="0"/>
        <v>1970</v>
      </c>
      <c r="C65" s="58">
        <v>40</v>
      </c>
      <c r="D65" s="55"/>
      <c r="E65" s="62">
        <v>36</v>
      </c>
    </row>
    <row r="66" spans="2:5" ht="18.45" x14ac:dyDescent="0.5">
      <c r="B66" s="51">
        <f t="shared" si="0"/>
        <v>1971</v>
      </c>
      <c r="C66" s="58"/>
      <c r="D66" s="55">
        <v>1882888</v>
      </c>
      <c r="E66" s="62" t="s">
        <v>32</v>
      </c>
    </row>
    <row r="67" spans="2:5" ht="18.45" x14ac:dyDescent="0.5">
      <c r="B67" s="51">
        <f t="shared" si="0"/>
        <v>1972</v>
      </c>
      <c r="C67" s="58"/>
      <c r="D67" s="55">
        <v>213195</v>
      </c>
      <c r="E67" s="62" t="s">
        <v>52</v>
      </c>
    </row>
    <row r="68" spans="2:5" ht="18.45" x14ac:dyDescent="0.5">
      <c r="B68" s="51">
        <f t="shared" si="0"/>
        <v>1973</v>
      </c>
      <c r="C68" s="58">
        <v>37</v>
      </c>
      <c r="D68" s="55"/>
      <c r="E68" s="62">
        <v>33</v>
      </c>
    </row>
    <row r="69" spans="2:5" ht="18.45" x14ac:dyDescent="0.5">
      <c r="B69" s="51">
        <f t="shared" si="0"/>
        <v>1974</v>
      </c>
      <c r="C69" s="58"/>
      <c r="D69" s="55">
        <v>7826218</v>
      </c>
      <c r="E69" s="62" t="s">
        <v>53</v>
      </c>
    </row>
    <row r="70" spans="2:5" ht="18.45" x14ac:dyDescent="0.5">
      <c r="B70" s="51">
        <f t="shared" si="0"/>
        <v>1975</v>
      </c>
      <c r="C70" s="58"/>
      <c r="D70" s="55">
        <v>21912749</v>
      </c>
      <c r="E70" s="62" t="s">
        <v>54</v>
      </c>
    </row>
    <row r="71" spans="2:5" ht="18.45" x14ac:dyDescent="0.5">
      <c r="B71" s="51">
        <f t="shared" si="0"/>
        <v>1976</v>
      </c>
      <c r="C71" s="58"/>
      <c r="D71" s="55">
        <v>13937552</v>
      </c>
      <c r="E71" s="62" t="s">
        <v>55</v>
      </c>
    </row>
    <row r="72" spans="2:5" ht="18.45" x14ac:dyDescent="0.5">
      <c r="B72" s="51">
        <f t="shared" si="0"/>
        <v>1977</v>
      </c>
      <c r="C72" s="58"/>
      <c r="D72" s="55">
        <v>11167013</v>
      </c>
      <c r="E72" s="62" t="s">
        <v>56</v>
      </c>
    </row>
    <row r="73" spans="2:5" ht="18.45" x14ac:dyDescent="0.5">
      <c r="B73" s="51">
        <f t="shared" si="0"/>
        <v>1978</v>
      </c>
      <c r="C73" s="58"/>
      <c r="D73" s="55">
        <v>14922002</v>
      </c>
      <c r="E73" s="62" t="s">
        <v>57</v>
      </c>
    </row>
    <row r="74" spans="2:5" ht="18.45" x14ac:dyDescent="0.5">
      <c r="B74" s="51">
        <f t="shared" si="0"/>
        <v>1979</v>
      </c>
      <c r="C74" s="58"/>
      <c r="D74" s="55">
        <v>13633199</v>
      </c>
      <c r="E74" s="62" t="s">
        <v>65</v>
      </c>
    </row>
    <row r="75" spans="2:5" ht="18.45" x14ac:dyDescent="0.5">
      <c r="B75" s="51">
        <f t="shared" si="0"/>
        <v>1980</v>
      </c>
      <c r="C75" s="58"/>
      <c r="D75" s="55">
        <v>13884507</v>
      </c>
      <c r="E75" s="62" t="s">
        <v>58</v>
      </c>
    </row>
    <row r="76" spans="2:5" ht="18.45" x14ac:dyDescent="0.5">
      <c r="B76" s="51">
        <f t="shared" si="0"/>
        <v>1981</v>
      </c>
      <c r="C76" s="58"/>
      <c r="D76" s="55">
        <v>12218727</v>
      </c>
      <c r="E76" s="62" t="s">
        <v>59</v>
      </c>
    </row>
    <row r="77" spans="2:5" ht="18.45" x14ac:dyDescent="0.5">
      <c r="B77" s="51">
        <f t="shared" si="0"/>
        <v>1982</v>
      </c>
      <c r="C77" s="58"/>
      <c r="D77" s="55">
        <v>15637224</v>
      </c>
      <c r="E77" s="62" t="s">
        <v>60</v>
      </c>
    </row>
    <row r="78" spans="2:5" ht="18.45" x14ac:dyDescent="0.5">
      <c r="B78" s="51">
        <f t="shared" si="0"/>
        <v>1983</v>
      </c>
      <c r="C78" s="58"/>
      <c r="D78" s="55">
        <v>10589195</v>
      </c>
      <c r="E78" s="62" t="s">
        <v>61</v>
      </c>
    </row>
    <row r="79" spans="2:5" ht="18.45" x14ac:dyDescent="0.5">
      <c r="B79" s="51">
        <f t="shared" si="0"/>
        <v>1984</v>
      </c>
      <c r="C79" s="58"/>
      <c r="D79" s="55">
        <v>9451492</v>
      </c>
      <c r="E79" s="62" t="s">
        <v>62</v>
      </c>
    </row>
    <row r="80" spans="2:5" ht="18.45" x14ac:dyDescent="0.5">
      <c r="B80" s="51">
        <f>B79+1</f>
        <v>1985</v>
      </c>
      <c r="C80" s="58"/>
      <c r="D80" s="55">
        <v>10060809</v>
      </c>
      <c r="E80" s="62" t="s">
        <v>63</v>
      </c>
    </row>
    <row r="81" spans="2:5" ht="18.45" x14ac:dyDescent="0.5">
      <c r="B81" s="51">
        <f t="shared" si="0"/>
        <v>1986</v>
      </c>
      <c r="C81" s="58"/>
      <c r="D81" s="55">
        <v>7452415</v>
      </c>
      <c r="E81" s="62" t="s">
        <v>51</v>
      </c>
    </row>
    <row r="82" spans="2:5" ht="18.45" x14ac:dyDescent="0.5">
      <c r="B82" s="52"/>
    </row>
    <row r="83" spans="2:5" ht="18.45" x14ac:dyDescent="0.5">
      <c r="B83" s="52"/>
    </row>
    <row r="84" spans="2:5" ht="18.45" x14ac:dyDescent="0.5">
      <c r="B84" s="52"/>
    </row>
  </sheetData>
  <mergeCells count="1">
    <mergeCell ref="B22:F22"/>
  </mergeCells>
  <phoneticPr fontId="15" type="noConversion"/>
  <pageMargins left="0.7" right="0.7" top="0.75" bottom="0.75" header="0.3" footer="0.3"/>
  <pageSetup scale="44" orientation="landscape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nextyear">
                <anchor moveWithCells="1">
                  <from>
                    <xdr:col>2</xdr:col>
                    <xdr:colOff>141514</xdr:colOff>
                    <xdr:row>2</xdr:row>
                    <xdr:rowOff>190500</xdr:rowOff>
                  </from>
                  <to>
                    <xdr:col>3</xdr:col>
                    <xdr:colOff>538843</xdr:colOff>
                    <xdr:row>4</xdr:row>
                    <xdr:rowOff>87086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previousyear">
                <anchor moveWithCells="1">
                  <from>
                    <xdr:col>2</xdr:col>
                    <xdr:colOff>48986</xdr:colOff>
                    <xdr:row>4</xdr:row>
                    <xdr:rowOff>163286</xdr:rowOff>
                  </from>
                  <to>
                    <xdr:col>3</xdr:col>
                    <xdr:colOff>587829</xdr:colOff>
                    <xdr:row>6</xdr:row>
                    <xdr:rowOff>65314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8C8B4FC-36DC-4F9A-88D4-054C7680FAD7}">
          <x14:formula1>
            <xm:f>'Advanced Returns'!$A$3:$A$97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C900F-0C80-4E91-BB5C-812C476633A4}">
  <sheetPr codeName="Sheet3">
    <pageSetUpPr fitToPage="1"/>
  </sheetPr>
  <dimension ref="A1:H45"/>
  <sheetViews>
    <sheetView zoomScale="110" zoomScaleNormal="110" workbookViewId="0">
      <selection activeCell="S9" sqref="S9"/>
    </sheetView>
  </sheetViews>
  <sheetFormatPr defaultRowHeight="14.6" x14ac:dyDescent="0.4"/>
  <cols>
    <col min="1" max="1" width="3" style="13" bestFit="1" customWidth="1"/>
    <col min="4" max="4" width="13" customWidth="1"/>
    <col min="5" max="5" width="18.3046875" bestFit="1" customWidth="1"/>
    <col min="7" max="7" width="13.15234375" bestFit="1" customWidth="1"/>
    <col min="8" max="8" width="12.53515625" bestFit="1" customWidth="1"/>
  </cols>
  <sheetData>
    <row r="1" spans="1:8" x14ac:dyDescent="0.4">
      <c r="B1" s="18"/>
      <c r="C1" s="19"/>
      <c r="D1" s="19" t="s">
        <v>19</v>
      </c>
      <c r="E1" s="4"/>
      <c r="F1" s="19"/>
      <c r="G1" s="18"/>
      <c r="H1" s="19" t="s">
        <v>19</v>
      </c>
    </row>
    <row r="2" spans="1:8" x14ac:dyDescent="0.4">
      <c r="B2" s="19"/>
      <c r="C2" s="19" t="s">
        <v>0</v>
      </c>
      <c r="D2" s="19" t="s">
        <v>20</v>
      </c>
      <c r="E2" s="18" t="s">
        <v>21</v>
      </c>
      <c r="F2" s="65" t="s">
        <v>22</v>
      </c>
      <c r="G2" s="65"/>
      <c r="H2" s="19" t="s">
        <v>23</v>
      </c>
    </row>
    <row r="3" spans="1:8" x14ac:dyDescent="0.4">
      <c r="B3" s="20" t="s">
        <v>0</v>
      </c>
      <c r="C3" s="20" t="s">
        <v>24</v>
      </c>
      <c r="D3" s="20" t="s">
        <v>25</v>
      </c>
      <c r="E3" s="20" t="s">
        <v>27</v>
      </c>
      <c r="F3" s="20" t="s">
        <v>26</v>
      </c>
      <c r="G3" s="20" t="s">
        <v>27</v>
      </c>
      <c r="H3" s="20" t="s">
        <v>25</v>
      </c>
    </row>
    <row r="4" spans="1:8" x14ac:dyDescent="0.4">
      <c r="B4" s="19"/>
      <c r="C4" s="19"/>
      <c r="D4" s="19"/>
      <c r="E4" s="19"/>
      <c r="F4" s="19"/>
      <c r="G4" s="19"/>
      <c r="H4" s="19"/>
    </row>
    <row r="6" spans="1:8" x14ac:dyDescent="0.4">
      <c r="A6" s="14">
        <v>1</v>
      </c>
      <c r="B6" s="14">
        <f>'Inputs and Chart'!B3</f>
        <v>1930</v>
      </c>
      <c r="C6" s="2">
        <f>INDEX('Advanced Returns'!B:B,MATCH('Calcs and Formulas'!B6,'Advanced Returns'!A:A,))</f>
        <v>-6.3953487255105607E-2</v>
      </c>
      <c r="D6" s="12">
        <f>'Inputs and Chart'!B4</f>
        <v>1000000</v>
      </c>
      <c r="E6" s="15">
        <f>'Inputs and Chart'!B5</f>
        <v>40000</v>
      </c>
      <c r="F6" s="2">
        <f>INDEX('Advanced Returns'!K:K,MATCH(B6,'Advanced Returns'!A:A,))</f>
        <v>-0.20171090148645121</v>
      </c>
      <c r="G6" s="12">
        <f t="shared" ref="G6:G45" si="0">IF((D6&gt;0),F6*(D6-E6),0)</f>
        <v>-193642.46542699315</v>
      </c>
      <c r="H6" s="12">
        <f t="shared" ref="H6:H45" si="1">D6-E6+G6</f>
        <v>766357.53457300691</v>
      </c>
    </row>
    <row r="7" spans="1:8" x14ac:dyDescent="0.4">
      <c r="A7" s="14">
        <f>A6+1</f>
        <v>2</v>
      </c>
      <c r="B7" s="14">
        <f>B6+1</f>
        <v>1931</v>
      </c>
      <c r="C7" s="2">
        <f>INDEX('Advanced Returns'!B:B,MATCH('Calcs and Formulas'!B7,'Advanced Returns'!A:A,))</f>
        <v>-9.3167701771339401E-2</v>
      </c>
      <c r="D7" s="12">
        <f t="shared" ref="D7:D45" si="2">H6</f>
        <v>766357.53457300691</v>
      </c>
      <c r="E7" s="15">
        <f t="shared" ref="E7:E45" si="3">MIN(IF(C6&lt;0*AND(H6&lt;&gt;0),E6*(1+C6),IF(H6=0,0,E6*(1+C6))),D7)</f>
        <v>37441.860509795777</v>
      </c>
      <c r="F7" s="2">
        <f>INDEX('Advanced Returns'!K:K,MATCH(B7,'Advanced Returns'!A:A,))</f>
        <v>-0.32559508973492546</v>
      </c>
      <c r="G7" s="12">
        <f t="shared" si="0"/>
        <v>-237331.36430580489</v>
      </c>
      <c r="H7" s="12">
        <f t="shared" si="1"/>
        <v>491584.30975740618</v>
      </c>
    </row>
    <row r="8" spans="1:8" x14ac:dyDescent="0.4">
      <c r="A8" s="14">
        <f t="shared" ref="A8:B45" si="4">A7+1</f>
        <v>3</v>
      </c>
      <c r="B8" s="14">
        <f t="shared" si="4"/>
        <v>1932</v>
      </c>
      <c r="C8" s="2">
        <f>INDEX('Advanced Returns'!B:B,MATCH('Calcs and Formulas'!B8,'Advanced Returns'!A:A,))</f>
        <v>-0.102739726098865</v>
      </c>
      <c r="D8" s="12">
        <f t="shared" si="2"/>
        <v>491584.30975740618</v>
      </c>
      <c r="E8" s="15">
        <f t="shared" si="3"/>
        <v>33953.488416055035</v>
      </c>
      <c r="F8" s="2">
        <f>INDEX('Advanced Returns'!K:K,MATCH(B8,'Advanced Returns'!A:A,))</f>
        <v>-4.6329721291252152E-2</v>
      </c>
      <c r="G8" s="12">
        <f t="shared" si="0"/>
        <v>-21201.908407031606</v>
      </c>
      <c r="H8" s="12">
        <f t="shared" si="1"/>
        <v>436428.91293431952</v>
      </c>
    </row>
    <row r="9" spans="1:8" x14ac:dyDescent="0.4">
      <c r="A9" s="14">
        <f t="shared" si="4"/>
        <v>4</v>
      </c>
      <c r="B9" s="14">
        <f t="shared" si="4"/>
        <v>1933</v>
      </c>
      <c r="C9" s="2">
        <f>INDEX('Advanced Returns'!B:B,MATCH('Calcs and Formulas'!B9,'Advanced Returns'!A:A,))</f>
        <v>7.6335873460990902E-3</v>
      </c>
      <c r="D9" s="12">
        <f t="shared" si="2"/>
        <v>436428.91293431952</v>
      </c>
      <c r="E9" s="15">
        <f t="shared" si="3"/>
        <v>30465.116316088559</v>
      </c>
      <c r="F9" s="2">
        <f>INDEX('Advanced Returns'!K:K,MATCH(B9,'Advanced Returns'!A:A,))</f>
        <v>0.42661582175295831</v>
      </c>
      <c r="G9" s="12">
        <f t="shared" si="0"/>
        <v>173190.57869623744</v>
      </c>
      <c r="H9" s="12">
        <f t="shared" si="1"/>
        <v>579154.3753144684</v>
      </c>
    </row>
    <row r="10" spans="1:8" x14ac:dyDescent="0.4">
      <c r="A10" s="14">
        <f t="shared" si="4"/>
        <v>5</v>
      </c>
      <c r="B10" s="14">
        <f t="shared" si="4"/>
        <v>1934</v>
      </c>
      <c r="C10" s="2">
        <f>INDEX('Advanced Returns'!B:B,MATCH('Calcs and Formulas'!B10,'Advanced Returns'!A:A,))</f>
        <v>1.5151516049302999E-2</v>
      </c>
      <c r="D10" s="12">
        <f t="shared" si="2"/>
        <v>579154.3753144684</v>
      </c>
      <c r="E10" s="15">
        <f t="shared" si="3"/>
        <v>30697.674442496489</v>
      </c>
      <c r="F10" s="2">
        <f>INDEX('Advanced Returns'!K:K,MATCH(B10,'Advanced Returns'!A:A,))</f>
        <v>4.9089262827165289E-2</v>
      </c>
      <c r="G10" s="12">
        <f t="shared" si="0"/>
        <v>26923.335138424201</v>
      </c>
      <c r="H10" s="12">
        <f t="shared" si="1"/>
        <v>575380.03601039608</v>
      </c>
    </row>
    <row r="11" spans="1:8" x14ac:dyDescent="0.4">
      <c r="A11" s="14">
        <f t="shared" si="4"/>
        <v>6</v>
      </c>
      <c r="B11" s="14">
        <f t="shared" si="4"/>
        <v>1935</v>
      </c>
      <c r="C11" s="2">
        <f>INDEX('Advanced Returns'!B:B,MATCH('Calcs and Formulas'!B11,'Advanced Returns'!A:A,))</f>
        <v>2.98507456072412E-2</v>
      </c>
      <c r="D11" s="12">
        <f t="shared" si="2"/>
        <v>575380.03601039608</v>
      </c>
      <c r="E11" s="15">
        <f t="shared" si="3"/>
        <v>31162.790749488253</v>
      </c>
      <c r="F11" s="2">
        <f>INDEX('Advanced Returns'!K:K,MATCH(B11,'Advanced Returns'!A:A,))</f>
        <v>0.32472283259005585</v>
      </c>
      <c r="G11" s="12">
        <f t="shared" si="0"/>
        <v>176719.76542547913</v>
      </c>
      <c r="H11" s="12">
        <f t="shared" si="1"/>
        <v>720937.01068638696</v>
      </c>
    </row>
    <row r="12" spans="1:8" x14ac:dyDescent="0.4">
      <c r="A12" s="14">
        <f t="shared" si="4"/>
        <v>7</v>
      </c>
      <c r="B12" s="14">
        <f t="shared" si="4"/>
        <v>1936</v>
      </c>
      <c r="C12" s="2">
        <f>INDEX('Advanced Returns'!B:B,MATCH('Calcs and Formulas'!B12,'Advanced Returns'!A:A,))</f>
        <v>1.4492753945454901E-2</v>
      </c>
      <c r="D12" s="12">
        <f t="shared" si="2"/>
        <v>720937.01068638696</v>
      </c>
      <c r="E12" s="15">
        <f t="shared" si="3"/>
        <v>32093.023288562916</v>
      </c>
      <c r="F12" s="2">
        <f>INDEX('Advanced Returns'!K:K,MATCH(B12,'Advanced Returns'!A:A,))</f>
        <v>0.23512941587699523</v>
      </c>
      <c r="G12" s="12">
        <f t="shared" si="0"/>
        <v>161967.48438723065</v>
      </c>
      <c r="H12" s="12">
        <f t="shared" si="1"/>
        <v>850811.47178505477</v>
      </c>
    </row>
    <row r="13" spans="1:8" x14ac:dyDescent="0.4">
      <c r="A13" s="14">
        <f t="shared" si="4"/>
        <v>8</v>
      </c>
      <c r="B13" s="14">
        <f t="shared" si="4"/>
        <v>1937</v>
      </c>
      <c r="C13" s="2">
        <f>INDEX('Advanced Returns'!B:B,MATCH('Calcs and Formulas'!B13,'Advanced Returns'!A:A,))</f>
        <v>2.8571428962181698E-2</v>
      </c>
      <c r="D13" s="12">
        <f t="shared" si="2"/>
        <v>850811.47178505477</v>
      </c>
      <c r="E13" s="15">
        <f t="shared" si="3"/>
        <v>32558.139578449813</v>
      </c>
      <c r="F13" s="2">
        <f>INDEX('Advanced Returns'!K:K,MATCH(B13,'Advanced Returns'!A:A,))</f>
        <v>-0.25896538665590613</v>
      </c>
      <c r="G13" s="12">
        <f t="shared" si="0"/>
        <v>-211899.29055736706</v>
      </c>
      <c r="H13" s="12">
        <f t="shared" si="1"/>
        <v>606354.04164923797</v>
      </c>
    </row>
    <row r="14" spans="1:8" x14ac:dyDescent="0.4">
      <c r="A14" s="14">
        <f t="shared" si="4"/>
        <v>9</v>
      </c>
      <c r="B14" s="14">
        <f t="shared" si="4"/>
        <v>1938</v>
      </c>
      <c r="C14" s="2">
        <f>INDEX('Advanced Returns'!B:B,MATCH('Calcs and Formulas'!B14,'Advanced Returns'!A:A,))</f>
        <v>-2.7777778830841E-2</v>
      </c>
      <c r="D14" s="12">
        <f t="shared" si="2"/>
        <v>606354.04164923797</v>
      </c>
      <c r="E14" s="15">
        <f t="shared" si="3"/>
        <v>33488.372150556286</v>
      </c>
      <c r="F14" s="2">
        <f>INDEX('Advanced Returns'!K:K,MATCH(B14,'Advanced Returns'!A:A,))</f>
        <v>0.2074295394060261</v>
      </c>
      <c r="G14" s="12">
        <f t="shared" si="0"/>
        <v>118829.26196563631</v>
      </c>
      <c r="H14" s="12">
        <f t="shared" si="1"/>
        <v>691694.93146431795</v>
      </c>
    </row>
    <row r="15" spans="1:8" x14ac:dyDescent="0.4">
      <c r="A15" s="14">
        <f t="shared" si="4"/>
        <v>10</v>
      </c>
      <c r="B15" s="14">
        <f t="shared" si="4"/>
        <v>1939</v>
      </c>
      <c r="C15" s="2">
        <f>INDEX('Advanced Returns'!B:B,MATCH('Calcs and Formulas'!B15,'Advanced Returns'!A:A,))</f>
        <v>-1.1016263457008801E-9</v>
      </c>
      <c r="D15" s="12">
        <f t="shared" si="2"/>
        <v>691694.93146431795</v>
      </c>
      <c r="E15" s="15">
        <f t="shared" si="3"/>
        <v>32558.13955555324</v>
      </c>
      <c r="F15" s="2">
        <f>INDEX('Advanced Returns'!K:K,MATCH(B15,'Advanced Returns'!A:A,))</f>
        <v>1.9592321995600046E-2</v>
      </c>
      <c r="G15" s="12">
        <f t="shared" si="0"/>
        <v>12914.020266223342</v>
      </c>
      <c r="H15" s="12">
        <f t="shared" si="1"/>
        <v>672050.8121749881</v>
      </c>
    </row>
    <row r="16" spans="1:8" x14ac:dyDescent="0.4">
      <c r="A16" s="14">
        <f t="shared" si="4"/>
        <v>11</v>
      </c>
      <c r="B16" s="14">
        <f t="shared" si="4"/>
        <v>1940</v>
      </c>
      <c r="C16" s="2">
        <f>INDEX('Advanced Returns'!B:B,MATCH('Calcs and Formulas'!B16,'Advanced Returns'!A:A,))</f>
        <v>7.1428569732801001E-3</v>
      </c>
      <c r="D16" s="12">
        <f t="shared" si="2"/>
        <v>672050.8121749881</v>
      </c>
      <c r="E16" s="15">
        <f t="shared" si="3"/>
        <v>32558.139519686334</v>
      </c>
      <c r="F16" s="2">
        <f>INDEX('Advanced Returns'!K:K,MATCH(B16,'Advanced Returns'!A:A,))</f>
        <v>-5.3617463190262948E-2</v>
      </c>
      <c r="G16" s="12">
        <f t="shared" si="0"/>
        <v>-34287.974836538517</v>
      </c>
      <c r="H16" s="12">
        <f t="shared" si="1"/>
        <v>605204.6978187632</v>
      </c>
    </row>
    <row r="17" spans="1:8" x14ac:dyDescent="0.4">
      <c r="A17" s="14">
        <f t="shared" si="4"/>
        <v>12</v>
      </c>
      <c r="B17" s="14">
        <f t="shared" si="4"/>
        <v>1941</v>
      </c>
      <c r="C17" s="2">
        <f>INDEX('Advanced Returns'!B:B,MATCH('Calcs and Formulas'!B17,'Advanced Returns'!A:A,))</f>
        <v>9.9290780456805297E-2</v>
      </c>
      <c r="D17" s="12">
        <f t="shared" si="2"/>
        <v>605204.6978187632</v>
      </c>
      <c r="E17" s="15">
        <f t="shared" si="3"/>
        <v>32790.697653591553</v>
      </c>
      <c r="F17" s="2">
        <f>INDEX('Advanced Returns'!K:K,MATCH(B17,'Advanced Returns'!A:A,))</f>
        <v>-8.1465268557630754E-2</v>
      </c>
      <c r="G17" s="12">
        <f t="shared" si="0"/>
        <v>-46631.860249603407</v>
      </c>
      <c r="H17" s="12">
        <f t="shared" si="1"/>
        <v>525782.13991556829</v>
      </c>
    </row>
    <row r="18" spans="1:8" x14ac:dyDescent="0.4">
      <c r="A18" s="14">
        <f t="shared" si="4"/>
        <v>13</v>
      </c>
      <c r="B18" s="14">
        <f t="shared" si="4"/>
        <v>1942</v>
      </c>
      <c r="C18" s="2">
        <f>INDEX('Advanced Returns'!B:B,MATCH('Calcs and Formulas'!B18,'Advanced Returns'!A:A,))</f>
        <v>9.0322580665645094E-2</v>
      </c>
      <c r="D18" s="12">
        <f t="shared" si="2"/>
        <v>525782.13991556829</v>
      </c>
      <c r="E18" s="15">
        <f t="shared" si="3"/>
        <v>36046.51161533979</v>
      </c>
      <c r="F18" s="2">
        <f>INDEX('Advanced Returns'!K:K,MATCH(B18,'Advanced Returns'!A:A,))</f>
        <v>0.11262633289657803</v>
      </c>
      <c r="G18" s="12">
        <f t="shared" si="0"/>
        <v>55157.127904256333</v>
      </c>
      <c r="H18" s="12">
        <f t="shared" si="1"/>
        <v>544892.75620448485</v>
      </c>
    </row>
    <row r="19" spans="1:8" x14ac:dyDescent="0.4">
      <c r="A19" s="14">
        <f t="shared" si="4"/>
        <v>14</v>
      </c>
      <c r="B19" s="14">
        <f t="shared" si="4"/>
        <v>1943</v>
      </c>
      <c r="C19" s="2">
        <f>INDEX('Advanced Returns'!B:B,MATCH('Calcs and Formulas'!B19,'Advanced Returns'!A:A,))</f>
        <v>2.9585798439667702E-2</v>
      </c>
      <c r="D19" s="12">
        <f t="shared" si="2"/>
        <v>544892.75620448485</v>
      </c>
      <c r="E19" s="15">
        <f t="shared" si="3"/>
        <v>39302.325568431435</v>
      </c>
      <c r="F19" s="2">
        <f>INDEX('Advanced Returns'!K:K,MATCH(B19,'Advanced Returns'!A:A,))</f>
        <v>0.21351943910397947</v>
      </c>
      <c r="G19" s="12">
        <f t="shared" si="0"/>
        <v>107953.38516574957</v>
      </c>
      <c r="H19" s="12">
        <f t="shared" si="1"/>
        <v>613543.81580180302</v>
      </c>
    </row>
    <row r="20" spans="1:8" x14ac:dyDescent="0.4">
      <c r="A20" s="14">
        <f t="shared" si="4"/>
        <v>15</v>
      </c>
      <c r="B20" s="14">
        <f t="shared" si="4"/>
        <v>1944</v>
      </c>
      <c r="C20" s="2">
        <f>INDEX('Advanced Returns'!B:B,MATCH('Calcs and Formulas'!B20,'Advanced Returns'!A:A,))</f>
        <v>2.2988505902784801E-2</v>
      </c>
      <c r="D20" s="12">
        <f t="shared" si="2"/>
        <v>613543.81580180302</v>
      </c>
      <c r="E20" s="15">
        <f t="shared" si="3"/>
        <v>40465.116250909246</v>
      </c>
      <c r="F20" s="2">
        <f>INDEX('Advanced Returns'!K:K,MATCH(B20,'Advanced Returns'!A:A,))</f>
        <v>0.15614019500370513</v>
      </c>
      <c r="G20" s="12">
        <f t="shared" si="0"/>
        <v>89480.619900346297</v>
      </c>
      <c r="H20" s="12">
        <f t="shared" si="1"/>
        <v>662559.31945124001</v>
      </c>
    </row>
    <row r="21" spans="1:8" x14ac:dyDescent="0.4">
      <c r="A21" s="14">
        <f t="shared" si="4"/>
        <v>16</v>
      </c>
      <c r="B21" s="14">
        <f t="shared" si="4"/>
        <v>1945</v>
      </c>
      <c r="C21" s="2">
        <f>INDEX('Advanced Returns'!B:B,MATCH('Calcs and Formulas'!B21,'Advanced Returns'!A:A,))</f>
        <v>2.24719103542372E-2</v>
      </c>
      <c r="D21" s="12">
        <f t="shared" si="2"/>
        <v>662559.31945124001</v>
      </c>
      <c r="E21" s="15">
        <f t="shared" si="3"/>
        <v>41395.348814700148</v>
      </c>
      <c r="F21" s="2">
        <f>INDEX('Advanced Returns'!K:K,MATCH(B21,'Advanced Returns'!A:A,))</f>
        <v>0.27900900189255518</v>
      </c>
      <c r="G21" s="12">
        <f t="shared" si="0"/>
        <v>173310.33945891744</v>
      </c>
      <c r="H21" s="12">
        <f t="shared" si="1"/>
        <v>794474.31009545736</v>
      </c>
    </row>
    <row r="22" spans="1:8" x14ac:dyDescent="0.4">
      <c r="A22" s="14">
        <f t="shared" si="4"/>
        <v>17</v>
      </c>
      <c r="B22" s="14">
        <f t="shared" si="4"/>
        <v>1946</v>
      </c>
      <c r="C22" s="2">
        <f>INDEX('Advanced Returns'!B:B,MATCH('Calcs and Formulas'!B22,'Advanced Returns'!A:A,))</f>
        <v>0.181318682159817</v>
      </c>
      <c r="D22" s="12">
        <f t="shared" si="2"/>
        <v>794474.31009545736</v>
      </c>
      <c r="E22" s="15">
        <f t="shared" si="3"/>
        <v>42325.58138234647</v>
      </c>
      <c r="F22" s="2">
        <f>INDEX('Advanced Returns'!K:K,MATCH(B22,'Advanced Returns'!A:A,))</f>
        <v>-5.5359236639174206E-2</v>
      </c>
      <c r="G22" s="12">
        <f t="shared" si="0"/>
        <v>-41638.379460683151</v>
      </c>
      <c r="H22" s="12">
        <f t="shared" si="1"/>
        <v>710510.3492524277</v>
      </c>
    </row>
    <row r="23" spans="1:8" x14ac:dyDescent="0.4">
      <c r="A23" s="14">
        <f t="shared" si="4"/>
        <v>18</v>
      </c>
      <c r="B23" s="14">
        <f t="shared" si="4"/>
        <v>1947</v>
      </c>
      <c r="C23" s="2">
        <f>INDEX('Advanced Returns'!B:B,MATCH('Calcs and Formulas'!B23,'Advanced Returns'!A:A,))</f>
        <v>8.8372092907330196E-2</v>
      </c>
      <c r="D23" s="12">
        <f t="shared" si="2"/>
        <v>710510.3492524277</v>
      </c>
      <c r="E23" s="15">
        <f t="shared" si="3"/>
        <v>50000.000020241612</v>
      </c>
      <c r="F23" s="2">
        <f>INDEX('Advanced Returns'!K:K,MATCH(B23,'Advanced Returns'!A:A,))</f>
        <v>1.1977512360767186E-2</v>
      </c>
      <c r="G23" s="12">
        <f t="shared" si="0"/>
        <v>7911.2708723431597</v>
      </c>
      <c r="H23" s="12">
        <f t="shared" si="1"/>
        <v>668421.62010452931</v>
      </c>
    </row>
    <row r="24" spans="1:8" x14ac:dyDescent="0.4">
      <c r="A24" s="14">
        <f t="shared" si="4"/>
        <v>19</v>
      </c>
      <c r="B24" s="14">
        <f t="shared" si="4"/>
        <v>1948</v>
      </c>
      <c r="C24" s="2">
        <f>INDEX('Advanced Returns'!B:B,MATCH('Calcs and Formulas'!B24,'Advanced Returns'!A:A,))</f>
        <v>2.9914531167561698E-2</v>
      </c>
      <c r="D24" s="12">
        <f t="shared" si="2"/>
        <v>668421.62010452931</v>
      </c>
      <c r="E24" s="15">
        <f t="shared" si="3"/>
        <v>54418.604667396918</v>
      </c>
      <c r="F24" s="2">
        <f>INDEX('Advanced Returns'!K:K,MATCH(B24,'Advanced Returns'!A:A,))</f>
        <v>4.1113156321794762E-3</v>
      </c>
      <c r="G24" s="12">
        <f t="shared" si="0"/>
        <v>2524.3601955720187</v>
      </c>
      <c r="H24" s="12">
        <f t="shared" si="1"/>
        <v>616527.37563270447</v>
      </c>
    </row>
    <row r="25" spans="1:8" x14ac:dyDescent="0.4">
      <c r="A25" s="14">
        <f t="shared" si="4"/>
        <v>20</v>
      </c>
      <c r="B25" s="14">
        <f t="shared" si="4"/>
        <v>1949</v>
      </c>
      <c r="C25" s="2">
        <f>INDEX('Advanced Returns'!B:B,MATCH('Calcs and Formulas'!B25,'Advanced Returns'!A:A,))</f>
        <v>-2.07468872006695E-2</v>
      </c>
      <c r="D25" s="12">
        <f t="shared" si="2"/>
        <v>616527.37563270447</v>
      </c>
      <c r="E25" s="15">
        <f t="shared" si="3"/>
        <v>56046.51171281498</v>
      </c>
      <c r="F25" s="2">
        <f>INDEX('Advanced Returns'!K:K,MATCH(B25,'Advanced Returns'!A:A,))</f>
        <v>0.13648740905770876</v>
      </c>
      <c r="G25" s="12">
        <f t="shared" si="0"/>
        <v>76498.580942851942</v>
      </c>
      <c r="H25" s="12">
        <f t="shared" si="1"/>
        <v>636979.44486274139</v>
      </c>
    </row>
    <row r="26" spans="1:8" x14ac:dyDescent="0.4">
      <c r="A26" s="14">
        <f t="shared" si="4"/>
        <v>21</v>
      </c>
      <c r="B26" s="14">
        <f t="shared" si="4"/>
        <v>1950</v>
      </c>
      <c r="C26" s="2">
        <f>INDEX('Advanced Returns'!B:B,MATCH('Calcs and Formulas'!B26,'Advanced Returns'!A:A,))</f>
        <v>5.9322032928727002E-2</v>
      </c>
      <c r="D26" s="12">
        <f t="shared" si="2"/>
        <v>636979.44486274139</v>
      </c>
      <c r="E26" s="15">
        <f t="shared" si="3"/>
        <v>54883.721056318202</v>
      </c>
      <c r="F26" s="2">
        <f>INDEX('Advanced Returns'!K:K,MATCH(B26,'Advanced Returns'!A:A,))</f>
        <v>0.20234616274120154</v>
      </c>
      <c r="G26" s="12">
        <f t="shared" si="0"/>
        <v>117784.836060292</v>
      </c>
      <c r="H26" s="12">
        <f t="shared" si="1"/>
        <v>699880.55986671511</v>
      </c>
    </row>
    <row r="27" spans="1:8" x14ac:dyDescent="0.4">
      <c r="A27" s="14">
        <f t="shared" si="4"/>
        <v>22</v>
      </c>
      <c r="B27" s="14">
        <f t="shared" si="4"/>
        <v>1951</v>
      </c>
      <c r="C27" s="2">
        <f>INDEX('Advanced Returns'!B:B,MATCH('Calcs and Formulas'!B27,'Advanced Returns'!A:A,))</f>
        <v>6.0000001981501898E-2</v>
      </c>
      <c r="D27" s="12">
        <f t="shared" si="2"/>
        <v>699880.55986671511</v>
      </c>
      <c r="E27" s="15">
        <f t="shared" si="3"/>
        <v>58139.534964072176</v>
      </c>
      <c r="F27" s="2">
        <f>INDEX('Advanced Returns'!K:K,MATCH(B27,'Advanced Returns'!A:A,))</f>
        <v>0.13097988889496051</v>
      </c>
      <c r="G27" s="12">
        <f t="shared" si="0"/>
        <v>84055.168141086266</v>
      </c>
      <c r="H27" s="12">
        <f t="shared" si="1"/>
        <v>725796.19304372917</v>
      </c>
    </row>
    <row r="28" spans="1:8" x14ac:dyDescent="0.4">
      <c r="A28" s="14">
        <f t="shared" si="4"/>
        <v>23</v>
      </c>
      <c r="B28" s="14">
        <f t="shared" si="4"/>
        <v>1952</v>
      </c>
      <c r="C28" s="2">
        <f>INDEX('Advanced Returns'!B:B,MATCH('Calcs and Formulas'!B28,'Advanced Returns'!A:A,))</f>
        <v>7.54716965116953E-3</v>
      </c>
      <c r="D28" s="12">
        <f t="shared" si="2"/>
        <v>725796.19304372917</v>
      </c>
      <c r="E28" s="15">
        <f t="shared" si="3"/>
        <v>61627.907177120105</v>
      </c>
      <c r="F28" s="2">
        <f>INDEX('Advanced Returns'!K:K,MATCH(B28,'Advanced Returns'!A:A,))</f>
        <v>8.4453292772507654E-2</v>
      </c>
      <c r="G28" s="12">
        <f t="shared" si="0"/>
        <v>56091.198696507294</v>
      </c>
      <c r="H28" s="12">
        <f t="shared" si="1"/>
        <v>720259.48456311633</v>
      </c>
    </row>
    <row r="29" spans="1:8" x14ac:dyDescent="0.4">
      <c r="A29" s="14">
        <f t="shared" si="4"/>
        <v>24</v>
      </c>
      <c r="B29" s="14">
        <f t="shared" si="4"/>
        <v>1953</v>
      </c>
      <c r="C29" s="2">
        <f>INDEX('Advanced Returns'!B:B,MATCH('Calcs and Formulas'!B29,'Advanced Returns'!A:A,))</f>
        <v>7.4906361015489899E-3</v>
      </c>
      <c r="D29" s="12">
        <f t="shared" si="2"/>
        <v>720259.48456311633</v>
      </c>
      <c r="E29" s="15">
        <f t="shared" si="3"/>
        <v>62093.023447832362</v>
      </c>
      <c r="F29" s="2">
        <f>INDEX('Advanced Returns'!K:K,MATCH(B29,'Advanced Returns'!A:A,))</f>
        <v>-5.5284963704482944E-4</v>
      </c>
      <c r="G29" s="12">
        <f t="shared" si="0"/>
        <v>-363.86708914266461</v>
      </c>
      <c r="H29" s="12">
        <f t="shared" si="1"/>
        <v>657802.59402614133</v>
      </c>
    </row>
    <row r="30" spans="1:8" x14ac:dyDescent="0.4">
      <c r="A30" s="14">
        <f t="shared" si="4"/>
        <v>25</v>
      </c>
      <c r="B30" s="14">
        <f t="shared" si="4"/>
        <v>1954</v>
      </c>
      <c r="C30" s="2">
        <f>INDEX('Advanced Returns'!B:B,MATCH('Calcs and Formulas'!B30,'Advanced Returns'!A:A,))</f>
        <v>-7.4349439987871904E-3</v>
      </c>
      <c r="D30" s="12">
        <f t="shared" si="2"/>
        <v>657802.59402614133</v>
      </c>
      <c r="E30" s="15">
        <f t="shared" si="3"/>
        <v>62558.139690925025</v>
      </c>
      <c r="F30" s="2">
        <f>INDEX('Advanced Returns'!K:K,MATCH(B30,'Advanced Returns'!A:A,))</f>
        <v>0.34977857849451377</v>
      </c>
      <c r="G30" s="12">
        <f t="shared" si="0"/>
        <v>208203.75909411447</v>
      </c>
      <c r="H30" s="12">
        <f t="shared" si="1"/>
        <v>803448.21342933085</v>
      </c>
    </row>
    <row r="31" spans="1:8" x14ac:dyDescent="0.4">
      <c r="A31" s="14">
        <f t="shared" si="4"/>
        <v>26</v>
      </c>
      <c r="B31" s="14">
        <f t="shared" si="4"/>
        <v>1955</v>
      </c>
      <c r="C31" s="2">
        <f>INDEX('Advanced Returns'!B:B,MATCH('Calcs and Formulas'!B31,'Advanced Returns'!A:A,))</f>
        <v>3.7453178362640799E-3</v>
      </c>
      <c r="D31" s="12">
        <f t="shared" si="2"/>
        <v>803448.21342933085</v>
      </c>
      <c r="E31" s="15">
        <f t="shared" si="3"/>
        <v>62093.02342565469</v>
      </c>
      <c r="F31" s="2">
        <f>INDEX('Advanced Returns'!K:K,MATCH(B31,'Advanced Returns'!A:A,))</f>
        <v>0.16135111151290574</v>
      </c>
      <c r="G31" s="12">
        <f t="shared" si="0"/>
        <v>119618.48393295456</v>
      </c>
      <c r="H31" s="12">
        <f t="shared" si="1"/>
        <v>860973.67393663072</v>
      </c>
    </row>
    <row r="32" spans="1:8" x14ac:dyDescent="0.4">
      <c r="A32" s="14">
        <f t="shared" si="4"/>
        <v>27</v>
      </c>
      <c r="B32" s="14">
        <f t="shared" si="4"/>
        <v>1956</v>
      </c>
      <c r="C32" s="2">
        <f>INDEX('Advanced Returns'!B:B,MATCH('Calcs and Formulas'!B32,'Advanced Returns'!A:A,))</f>
        <v>2.9850745977941101E-2</v>
      </c>
      <c r="D32" s="12">
        <f t="shared" si="2"/>
        <v>860973.67393663072</v>
      </c>
      <c r="E32" s="15">
        <f t="shared" si="3"/>
        <v>62325.581533798359</v>
      </c>
      <c r="F32" s="2">
        <f>INDEX('Advanced Returns'!K:K,MATCH(B32,'Advanced Returns'!A:A,))</f>
        <v>4.4804321538823702E-2</v>
      </c>
      <c r="G32" s="12">
        <f t="shared" si="0"/>
        <v>35782.885928384683</v>
      </c>
      <c r="H32" s="12">
        <f t="shared" si="1"/>
        <v>834430.97833121708</v>
      </c>
    </row>
    <row r="33" spans="1:8" x14ac:dyDescent="0.4">
      <c r="A33" s="14">
        <f t="shared" si="4"/>
        <v>28</v>
      </c>
      <c r="B33" s="14">
        <f t="shared" si="4"/>
        <v>1957</v>
      </c>
      <c r="C33" s="2">
        <f>INDEX('Advanced Returns'!B:B,MATCH('Calcs and Formulas'!B33,'Advanced Returns'!A:A,))</f>
        <v>2.89855066298947E-2</v>
      </c>
      <c r="D33" s="12">
        <f t="shared" si="2"/>
        <v>834430.97833121708</v>
      </c>
      <c r="E33" s="15">
        <f t="shared" si="3"/>
        <v>64186.046636091232</v>
      </c>
      <c r="F33" s="2">
        <f>INDEX('Advanced Returns'!K:K,MATCH(B33,'Advanced Returns'!A:A,))</f>
        <v>-6.5191755164775489E-2</v>
      </c>
      <c r="G33" s="12">
        <f t="shared" si="0"/>
        <v>-50213.619003977867</v>
      </c>
      <c r="H33" s="12">
        <f t="shared" si="1"/>
        <v>720031.31269114802</v>
      </c>
    </row>
    <row r="34" spans="1:8" x14ac:dyDescent="0.4">
      <c r="A34" s="14">
        <f t="shared" si="4"/>
        <v>29</v>
      </c>
      <c r="B34" s="14">
        <f t="shared" si="4"/>
        <v>1958</v>
      </c>
      <c r="C34" s="2">
        <f>INDEX('Advanced Returns'!B:B,MATCH('Calcs and Formulas'!B34,'Advanced Returns'!A:A,))</f>
        <v>1.7605634572750401E-2</v>
      </c>
      <c r="D34" s="12">
        <f t="shared" si="2"/>
        <v>720031.31269114802</v>
      </c>
      <c r="E34" s="15">
        <f t="shared" si="3"/>
        <v>66046.511716408393</v>
      </c>
      <c r="F34" s="2">
        <f>INDEX('Advanced Returns'!K:K,MATCH(B34,'Advanced Returns'!A:A,))</f>
        <v>0.31075473062774883</v>
      </c>
      <c r="G34" s="12">
        <f t="shared" si="0"/>
        <v>203228.87066154715</v>
      </c>
      <c r="H34" s="12">
        <f t="shared" si="1"/>
        <v>857213.67163628677</v>
      </c>
    </row>
    <row r="35" spans="1:8" x14ac:dyDescent="0.4">
      <c r="A35" s="14">
        <f t="shared" si="4"/>
        <v>30</v>
      </c>
      <c r="B35" s="14">
        <f t="shared" si="4"/>
        <v>1959</v>
      </c>
      <c r="C35" s="2">
        <f>INDEX('Advanced Returns'!B:B,MATCH('Calcs and Formulas'!B35,'Advanced Returns'!A:A,))</f>
        <v>1.7301038913637701E-2</v>
      </c>
      <c r="D35" s="12">
        <f t="shared" si="2"/>
        <v>857213.67163628677</v>
      </c>
      <c r="E35" s="15">
        <f t="shared" si="3"/>
        <v>67209.302466492358</v>
      </c>
      <c r="F35" s="2">
        <f>INDEX('Advanced Returns'!K:K,MATCH(B35,'Advanced Returns'!A:A,))</f>
        <v>7.9831017254957753E-2</v>
      </c>
      <c r="G35" s="12">
        <f t="shared" si="0"/>
        <v>63066.852426685873</v>
      </c>
      <c r="H35" s="12">
        <f t="shared" si="1"/>
        <v>853071.22159648023</v>
      </c>
    </row>
    <row r="36" spans="1:8" x14ac:dyDescent="0.4">
      <c r="A36" s="14">
        <f t="shared" si="4"/>
        <v>31</v>
      </c>
      <c r="B36" s="14">
        <f t="shared" si="4"/>
        <v>1960</v>
      </c>
      <c r="C36" s="2">
        <f>INDEX('Advanced Returns'!B:B,MATCH('Calcs and Formulas'!B36,'Advanced Returns'!A:A,))</f>
        <v>1.3605442629001799E-2</v>
      </c>
      <c r="D36" s="12">
        <f t="shared" si="2"/>
        <v>853071.22159648023</v>
      </c>
      <c r="E36" s="15">
        <f t="shared" si="3"/>
        <v>68372.093223823584</v>
      </c>
      <c r="F36" s="2">
        <f>INDEX('Advanced Returns'!K:K,MATCH(B36,'Advanced Returns'!A:A,))</f>
        <v>2.4196759772685174E-2</v>
      </c>
      <c r="G36" s="12">
        <f t="shared" si="0"/>
        <v>18987.17630306862</v>
      </c>
      <c r="H36" s="12">
        <f t="shared" si="1"/>
        <v>803686.30467572529</v>
      </c>
    </row>
    <row r="37" spans="1:8" x14ac:dyDescent="0.4">
      <c r="A37" s="14">
        <f t="shared" si="4"/>
        <v>32</v>
      </c>
      <c r="B37" s="14">
        <f t="shared" si="4"/>
        <v>1961</v>
      </c>
      <c r="C37" s="2">
        <f>INDEX('Advanced Returns'!B:B,MATCH('Calcs and Formulas'!B37,'Advanced Returns'!A:A,))</f>
        <v>6.7114097326659303E-3</v>
      </c>
      <c r="D37" s="12">
        <f t="shared" si="2"/>
        <v>803686.30467572529</v>
      </c>
      <c r="E37" s="15">
        <f t="shared" si="3"/>
        <v>69302.325815605072</v>
      </c>
      <c r="F37" s="2">
        <f>INDEX('Advanced Returns'!K:K,MATCH(B37,'Advanced Returns'!A:A,))</f>
        <v>0.18382968302143393</v>
      </c>
      <c r="G37" s="12">
        <f t="shared" si="0"/>
        <v>135001.57404987531</v>
      </c>
      <c r="H37" s="12">
        <f t="shared" si="1"/>
        <v>869385.55290999543</v>
      </c>
    </row>
    <row r="38" spans="1:8" x14ac:dyDescent="0.4">
      <c r="A38" s="14">
        <f t="shared" si="4"/>
        <v>33</v>
      </c>
      <c r="B38" s="14">
        <f t="shared" si="4"/>
        <v>1962</v>
      </c>
      <c r="C38" s="2">
        <f>INDEX('Advanced Returns'!B:B,MATCH('Calcs and Formulas'!B38,'Advanced Returns'!A:A,))</f>
        <v>1.33333325448486E-2</v>
      </c>
      <c r="D38" s="12">
        <f t="shared" si="2"/>
        <v>869385.55290999543</v>
      </c>
      <c r="E38" s="15">
        <f t="shared" si="3"/>
        <v>69767.442119580315</v>
      </c>
      <c r="F38" s="2">
        <f>INDEX('Advanced Returns'!K:K,MATCH(B38,'Advanced Returns'!A:A,))</f>
        <v>-7.1900777335058647E-2</v>
      </c>
      <c r="G38" s="12">
        <f t="shared" si="0"/>
        <v>-57493.163737021889</v>
      </c>
      <c r="H38" s="12">
        <f t="shared" si="1"/>
        <v>742124.94705339323</v>
      </c>
    </row>
    <row r="39" spans="1:8" x14ac:dyDescent="0.4">
      <c r="A39" s="14">
        <f t="shared" si="4"/>
        <v>34</v>
      </c>
      <c r="B39" s="14">
        <f t="shared" si="4"/>
        <v>1963</v>
      </c>
      <c r="C39" s="2">
        <f>INDEX('Advanced Returns'!B:B,MATCH('Calcs and Formulas'!B39,'Advanced Returns'!A:A,))</f>
        <v>1.6447369128213599E-2</v>
      </c>
      <c r="D39" s="12">
        <f t="shared" si="2"/>
        <v>742124.94705339323</v>
      </c>
      <c r="E39" s="15">
        <f t="shared" si="3"/>
        <v>70697.674626164153</v>
      </c>
      <c r="F39" s="2">
        <f>INDEX('Advanced Returns'!K:K,MATCH(B39,'Advanced Returns'!A:A,))</f>
        <v>0.13807884302674867</v>
      </c>
      <c r="G39" s="12">
        <f t="shared" si="0"/>
        <v>92709.900953357384</v>
      </c>
      <c r="H39" s="12">
        <f t="shared" si="1"/>
        <v>764137.17338058644</v>
      </c>
    </row>
    <row r="40" spans="1:8" x14ac:dyDescent="0.4">
      <c r="A40" s="14">
        <f t="shared" si="4"/>
        <v>35</v>
      </c>
      <c r="B40" s="14">
        <f t="shared" si="4"/>
        <v>1964</v>
      </c>
      <c r="C40" s="2">
        <f>INDEX('Advanced Returns'!B:B,MATCH('Calcs and Formulas'!B40,'Advanced Returns'!A:A,))</f>
        <v>9.7087370011577096E-3</v>
      </c>
      <c r="D40" s="12">
        <f t="shared" si="2"/>
        <v>764137.17338058644</v>
      </c>
      <c r="E40" s="15">
        <f t="shared" si="3"/>
        <v>71860.465377247019</v>
      </c>
      <c r="F40" s="2">
        <f>INDEX('Advanced Returns'!K:K,MATCH(B40,'Advanced Returns'!A:A,))</f>
        <v>0.11329036243160186</v>
      </c>
      <c r="G40" s="12">
        <f t="shared" si="0"/>
        <v>78428.279152654519</v>
      </c>
      <c r="H40" s="12">
        <f t="shared" si="1"/>
        <v>770704.98715599393</v>
      </c>
    </row>
    <row r="41" spans="1:8" x14ac:dyDescent="0.4">
      <c r="A41" s="14">
        <f t="shared" si="4"/>
        <v>36</v>
      </c>
      <c r="B41" s="14">
        <f t="shared" si="4"/>
        <v>1965</v>
      </c>
      <c r="C41" s="2">
        <f>INDEX('Advanced Returns'!B:B,MATCH('Calcs and Formulas'!B41,'Advanced Returns'!A:A,))</f>
        <v>1.9230768996140402E-2</v>
      </c>
      <c r="D41" s="12">
        <f t="shared" si="2"/>
        <v>770704.98715599393</v>
      </c>
      <c r="E41" s="15">
        <f t="shared" si="3"/>
        <v>72558.13973637551</v>
      </c>
      <c r="F41" s="2">
        <f>INDEX('Advanced Returns'!K:K,MATCH(B41,'Advanced Returns'!A:A,))</f>
        <v>0.10558271268948076</v>
      </c>
      <c r="G41" s="12">
        <f t="shared" si="0"/>
        <v>73712.238006172338</v>
      </c>
      <c r="H41" s="12">
        <f t="shared" si="1"/>
        <v>771859.08542579075</v>
      </c>
    </row>
    <row r="42" spans="1:8" x14ac:dyDescent="0.4">
      <c r="A42" s="14">
        <f t="shared" si="4"/>
        <v>37</v>
      </c>
      <c r="B42" s="14">
        <f t="shared" si="4"/>
        <v>1966</v>
      </c>
      <c r="C42" s="2">
        <f>INDEX('Advanced Returns'!B:B,MATCH('Calcs and Formulas'!B42,'Advanced Returns'!A:A,))</f>
        <v>3.4591195111199E-2</v>
      </c>
      <c r="D42" s="12">
        <f t="shared" si="2"/>
        <v>771859.08542579075</v>
      </c>
      <c r="E42" s="15">
        <f t="shared" si="3"/>
        <v>73953.48856043542</v>
      </c>
      <c r="F42" s="2">
        <f>INDEX('Advanced Returns'!K:K,MATCH(B42,'Advanced Returns'!A:A,))</f>
        <v>-5.8382648274529186E-2</v>
      </c>
      <c r="G42" s="12">
        <f t="shared" si="0"/>
        <v>-40745.576990615395</v>
      </c>
      <c r="H42" s="12">
        <f t="shared" si="1"/>
        <v>657160.01987473993</v>
      </c>
    </row>
    <row r="43" spans="1:8" x14ac:dyDescent="0.4">
      <c r="A43" s="14">
        <f t="shared" si="4"/>
        <v>38</v>
      </c>
      <c r="B43" s="14">
        <f t="shared" si="4"/>
        <v>1967</v>
      </c>
      <c r="C43" s="2">
        <f>INDEX('Advanced Returns'!B:B,MATCH('Calcs and Formulas'!B43,'Advanced Returns'!A:A,))</f>
        <v>3.0395136828084601E-2</v>
      </c>
      <c r="D43" s="12">
        <f t="shared" si="2"/>
        <v>657160.01987473993</v>
      </c>
      <c r="E43" s="15">
        <f t="shared" si="3"/>
        <v>76511.62811238326</v>
      </c>
      <c r="F43" s="2">
        <f>INDEX('Advanced Returns'!K:K,MATCH(B43,'Advanced Returns'!A:A,))</f>
        <v>0.21993622343356378</v>
      </c>
      <c r="G43" s="12">
        <f t="shared" si="0"/>
        <v>127705.61442698514</v>
      </c>
      <c r="H43" s="12">
        <f t="shared" si="1"/>
        <v>708354.00618934177</v>
      </c>
    </row>
    <row r="44" spans="1:8" x14ac:dyDescent="0.4">
      <c r="A44" s="14">
        <f t="shared" si="4"/>
        <v>39</v>
      </c>
      <c r="B44" s="14">
        <f t="shared" si="4"/>
        <v>1968</v>
      </c>
      <c r="C44" s="2">
        <f>INDEX('Advanced Returns'!B:B,MATCH('Calcs and Formulas'!B44,'Advanced Returns'!A:A,))</f>
        <v>4.71976413637301E-2</v>
      </c>
      <c r="D44" s="12">
        <f t="shared" si="2"/>
        <v>708354.00618934177</v>
      </c>
      <c r="E44" s="15">
        <f t="shared" si="3"/>
        <v>78837.209517798678</v>
      </c>
      <c r="F44" s="2">
        <f>INDEX('Advanced Returns'!K:K,MATCH(B44,'Advanced Returns'!A:A,))</f>
        <v>0.11399672441139179</v>
      </c>
      <c r="G44" s="12">
        <f t="shared" si="0"/>
        <v>71762.852782508053</v>
      </c>
      <c r="H44" s="12">
        <f t="shared" si="1"/>
        <v>701279.64945405105</v>
      </c>
    </row>
    <row r="45" spans="1:8" x14ac:dyDescent="0.4">
      <c r="A45" s="14">
        <f t="shared" si="4"/>
        <v>40</v>
      </c>
      <c r="B45" s="14">
        <f t="shared" si="4"/>
        <v>1969</v>
      </c>
      <c r="C45" s="2">
        <f>INDEX('Advanced Returns'!B:B,MATCH('Calcs and Formulas'!B45,'Advanced Returns'!A:A,))</f>
        <v>6.19718307390991E-2</v>
      </c>
      <c r="D45" s="12">
        <f t="shared" si="2"/>
        <v>701279.64945405105</v>
      </c>
      <c r="E45" s="15">
        <f t="shared" si="3"/>
        <v>82558.139858736991</v>
      </c>
      <c r="F45" s="2">
        <f>INDEX('Advanced Returns'!K:K,MATCH(B45,'Advanced Returns'!A:A,))</f>
        <v>-9.5111326657099995E-2</v>
      </c>
      <c r="G45" s="12">
        <f t="shared" si="0"/>
        <v>-58847.423608893943</v>
      </c>
      <c r="H45" s="12">
        <f t="shared" si="1"/>
        <v>559874.08598642005</v>
      </c>
    </row>
  </sheetData>
  <mergeCells count="1">
    <mergeCell ref="F2:G2"/>
  </mergeCells>
  <pageMargins left="0.7" right="0.7" top="0.75" bottom="0.75" header="0.3" footer="0.3"/>
  <pageSetup scale="40" fitToHeight="0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4B256-9EBE-473B-990E-C974D8DD45C8}">
  <sheetPr codeName="Sheet4"/>
  <dimension ref="A1:M99"/>
  <sheetViews>
    <sheetView workbookViewId="0">
      <pane ySplit="1" topLeftCell="A11" activePane="bottomLeft" state="frozen"/>
      <selection pane="bottomLeft" activeCell="M96" sqref="M96"/>
    </sheetView>
  </sheetViews>
  <sheetFormatPr defaultRowHeight="14.6" x14ac:dyDescent="0.4"/>
  <cols>
    <col min="1" max="1" width="9" style="3"/>
    <col min="2" max="2" width="11.53515625" bestFit="1" customWidth="1"/>
    <col min="3" max="3" width="8.3046875" bestFit="1" customWidth="1"/>
    <col min="4" max="4" width="10.3046875" bestFit="1" customWidth="1"/>
    <col min="5" max="5" width="10.84375" bestFit="1" customWidth="1"/>
    <col min="6" max="6" width="10.3828125" bestFit="1" customWidth="1"/>
    <col min="7" max="7" width="10.3046875" bestFit="1" customWidth="1"/>
    <col min="8" max="8" width="7.84375" bestFit="1" customWidth="1"/>
    <col min="9" max="9" width="11.3046875" bestFit="1" customWidth="1"/>
    <col min="10" max="10" width="12.69140625" bestFit="1" customWidth="1"/>
  </cols>
  <sheetData>
    <row r="1" spans="1:13" s="1" customFormat="1" x14ac:dyDescent="0.4">
      <c r="A1" s="3" t="s">
        <v>0</v>
      </c>
      <c r="B1" s="1" t="s">
        <v>1</v>
      </c>
      <c r="C1" s="1" t="s">
        <v>2</v>
      </c>
      <c r="D1" s="1" t="s">
        <v>3</v>
      </c>
      <c r="E1" s="17" t="s">
        <v>4</v>
      </c>
      <c r="F1" s="17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12</v>
      </c>
    </row>
    <row r="2" spans="1:13" x14ac:dyDescent="0.4">
      <c r="E2" s="17" t="s">
        <v>10</v>
      </c>
      <c r="F2" s="17" t="s">
        <v>11</v>
      </c>
      <c r="K2" s="1" t="s">
        <v>13</v>
      </c>
    </row>
    <row r="3" spans="1:13" x14ac:dyDescent="0.4">
      <c r="A3" s="3">
        <v>1929</v>
      </c>
      <c r="B3" s="48">
        <v>-5.7999999999999996E-3</v>
      </c>
      <c r="C3" s="48">
        <v>-0.31190000000000001</v>
      </c>
      <c r="D3" s="48">
        <v>-0.31680000000000003</v>
      </c>
      <c r="E3" s="48">
        <v>1.5599999999999999E-2</v>
      </c>
      <c r="F3" s="48">
        <v>3.8199999999999998E-2</v>
      </c>
      <c r="G3" s="48">
        <v>-0.3795</v>
      </c>
      <c r="H3" s="48">
        <f t="shared" ref="H3:H48" si="0">D3</f>
        <v>-0.31680000000000003</v>
      </c>
      <c r="I3" s="48">
        <f t="shared" ref="I3:I51" si="1">D3</f>
        <v>-0.31680000000000003</v>
      </c>
      <c r="J3" s="48">
        <f t="shared" ref="J3:J10" si="2">D3</f>
        <v>-0.31680000000000003</v>
      </c>
      <c r="K3" s="16">
        <f>('Inputs and Chart'!$B$9*'Advanced Returns'!C3)+(('Inputs and Chart'!$B$10*'Advanced Returns'!D3)+('Inputs and Chart'!$B$11*'Advanced Returns'!E3)+('Inputs and Chart'!$B$12*'Advanced Returns'!F3)+('Inputs and Chart'!$B$13*'Advanced Returns'!G3)+('Inputs and Chart'!$B$14*'Advanced Returns'!H3)+('Inputs and Chart'!$B$15*'Advanced Returns'!I3)+('Inputs and Chart'!$B$16*'Advanced Returns'!J3)-'Inputs and Chart'!$B$6)</f>
        <v>-0.22687223000000006</v>
      </c>
      <c r="M3" s="33"/>
    </row>
    <row r="4" spans="1:13" x14ac:dyDescent="0.4">
      <c r="A4" s="3">
        <v>1930</v>
      </c>
      <c r="B4" s="2">
        <v>-6.3953487255105607E-2</v>
      </c>
      <c r="C4" s="2">
        <v>-0.248950061276622</v>
      </c>
      <c r="D4" s="2">
        <v>-0.28799028169945901</v>
      </c>
      <c r="E4" s="2">
        <v>2.4103406983844399E-2</v>
      </c>
      <c r="F4" s="2">
        <v>6.7151105314348994E-2</v>
      </c>
      <c r="G4" s="2">
        <v>-0.39929539963405603</v>
      </c>
      <c r="H4" s="48">
        <f t="shared" si="0"/>
        <v>-0.28799028169945901</v>
      </c>
      <c r="I4" s="48">
        <f t="shared" si="1"/>
        <v>-0.28799028169945901</v>
      </c>
      <c r="J4" s="48">
        <f t="shared" si="2"/>
        <v>-0.28799028169945901</v>
      </c>
      <c r="K4" s="16">
        <f>('Inputs and Chart'!$B$9*'Advanced Returns'!C4)+(('Inputs and Chart'!$B$10*'Advanced Returns'!D4)+('Inputs and Chart'!$B$11*'Advanced Returns'!E4)+('Inputs and Chart'!$B$12*'Advanced Returns'!F4)+('Inputs and Chart'!$B$13*'Advanced Returns'!G4)+('Inputs and Chart'!$B$14*'Advanced Returns'!H4)+('Inputs and Chart'!$B$15*'Advanced Returns'!I4)+('Inputs and Chart'!$B$16*'Advanced Returns'!J4)-'Inputs and Chart'!$B$6)</f>
        <v>-0.20171090148645121</v>
      </c>
      <c r="M4" s="33"/>
    </row>
    <row r="5" spans="1:13" x14ac:dyDescent="0.4">
      <c r="A5" s="3">
        <v>1931</v>
      </c>
      <c r="B5" s="2">
        <v>-9.3167701771339401E-2</v>
      </c>
      <c r="C5" s="2">
        <v>-0.43348583438956201</v>
      </c>
      <c r="D5" s="2">
        <v>-0.435242334097107</v>
      </c>
      <c r="E5" s="2">
        <v>1.07302656053732E-2</v>
      </c>
      <c r="F5" s="2">
        <v>-2.3201613997040599E-2</v>
      </c>
      <c r="G5" s="2">
        <v>-0.50193751894153404</v>
      </c>
      <c r="H5" s="48">
        <f t="shared" si="0"/>
        <v>-0.435242334097107</v>
      </c>
      <c r="I5" s="48">
        <f t="shared" si="1"/>
        <v>-0.435242334097107</v>
      </c>
      <c r="J5" s="48">
        <f t="shared" si="2"/>
        <v>-0.435242334097107</v>
      </c>
      <c r="K5" s="16">
        <f>('Inputs and Chart'!$B$9*'Advanced Returns'!C5)+(('Inputs and Chart'!$B$10*'Advanced Returns'!D5)+('Inputs and Chart'!$B$11*'Advanced Returns'!E5)+('Inputs and Chart'!$B$12*'Advanced Returns'!F5)+('Inputs and Chart'!$B$13*'Advanced Returns'!G5)+('Inputs and Chart'!$B$14*'Advanced Returns'!H5)+('Inputs and Chart'!$B$15*'Advanced Returns'!I5)+('Inputs and Chart'!$B$16*'Advanced Returns'!J5)-'Inputs and Chart'!$B$6)</f>
        <v>-0.32559508973492546</v>
      </c>
      <c r="M5" s="33"/>
    </row>
    <row r="6" spans="1:13" x14ac:dyDescent="0.4">
      <c r="A6" s="3">
        <v>1932</v>
      </c>
      <c r="B6" s="2">
        <v>-0.102739726098865</v>
      </c>
      <c r="C6" s="2">
        <v>-8.1988943345911405E-2</v>
      </c>
      <c r="D6" s="2">
        <v>-8.6243940778588907E-2</v>
      </c>
      <c r="E6" s="2">
        <v>9.6172792808628706E-3</v>
      </c>
      <c r="F6" s="2">
        <v>8.8112057170595406E-2</v>
      </c>
      <c r="G6" s="2">
        <v>-2.1905889830172099E-2</v>
      </c>
      <c r="H6" s="48">
        <f t="shared" si="0"/>
        <v>-8.6243940778588907E-2</v>
      </c>
      <c r="I6" s="48">
        <f t="shared" si="1"/>
        <v>-8.6243940778588907E-2</v>
      </c>
      <c r="J6" s="48">
        <f t="shared" si="2"/>
        <v>-8.6243940778588907E-2</v>
      </c>
      <c r="K6" s="16">
        <f>('Inputs and Chart'!$B$9*'Advanced Returns'!C6)+(('Inputs and Chart'!$B$10*'Advanced Returns'!D6)+('Inputs and Chart'!$B$11*'Advanced Returns'!E6)+('Inputs and Chart'!$B$12*'Advanced Returns'!F6)+('Inputs and Chart'!$B$13*'Advanced Returns'!G6)+('Inputs and Chart'!$B$14*'Advanced Returns'!H6)+('Inputs and Chart'!$B$15*'Advanced Returns'!I6)+('Inputs and Chart'!$B$16*'Advanced Returns'!J6)-'Inputs and Chart'!$B$6)</f>
        <v>-4.6329721291252152E-2</v>
      </c>
      <c r="M6" s="33"/>
    </row>
    <row r="7" spans="1:13" x14ac:dyDescent="0.4">
      <c r="A7" s="3">
        <v>1933</v>
      </c>
      <c r="B7" s="2">
        <v>7.6335873460990902E-3</v>
      </c>
      <c r="C7" s="2">
        <v>0.53970078015249601</v>
      </c>
      <c r="D7" s="2">
        <v>0.56651403824948798</v>
      </c>
      <c r="E7" s="2">
        <v>2.97458494476444E-3</v>
      </c>
      <c r="F7" s="2">
        <v>1.8270899721234201E-2</v>
      </c>
      <c r="G7" s="2">
        <v>1.2466513934547701</v>
      </c>
      <c r="H7" s="48">
        <f t="shared" si="0"/>
        <v>0.56651403824948798</v>
      </c>
      <c r="I7" s="48">
        <f t="shared" si="1"/>
        <v>0.56651403824948798</v>
      </c>
      <c r="J7" s="48">
        <f t="shared" si="2"/>
        <v>0.56651403824948798</v>
      </c>
      <c r="K7" s="16">
        <f>('Inputs and Chart'!$B$9*'Advanced Returns'!C7)+(('Inputs and Chart'!$B$10*'Advanced Returns'!D7)+('Inputs and Chart'!$B$11*'Advanced Returns'!E7)+('Inputs and Chart'!$B$12*'Advanced Returns'!F7)+('Inputs and Chart'!$B$13*'Advanced Returns'!G7)+('Inputs and Chart'!$B$14*'Advanced Returns'!H7)+('Inputs and Chart'!$B$15*'Advanced Returns'!I7)+('Inputs and Chart'!$B$16*'Advanced Returns'!J7)-'Inputs and Chart'!$B$6)</f>
        <v>0.42661582175295831</v>
      </c>
      <c r="M7" s="33"/>
    </row>
    <row r="8" spans="1:13" x14ac:dyDescent="0.4">
      <c r="A8" s="3">
        <v>1934</v>
      </c>
      <c r="B8" s="2">
        <v>1.5151516049302999E-2</v>
      </c>
      <c r="C8" s="2">
        <v>-1.4307332003377899E-2</v>
      </c>
      <c r="D8" s="2">
        <v>4.0892362633353899E-2</v>
      </c>
      <c r="E8" s="2">
        <v>1.6281309295740299E-3</v>
      </c>
      <c r="F8" s="2">
        <v>8.9963502373399798E-2</v>
      </c>
      <c r="G8" s="2">
        <v>0.22108046543825199</v>
      </c>
      <c r="H8" s="48">
        <f t="shared" si="0"/>
        <v>4.0892362633353899E-2</v>
      </c>
      <c r="I8" s="48">
        <f t="shared" si="1"/>
        <v>4.0892362633353899E-2</v>
      </c>
      <c r="J8" s="48">
        <f t="shared" si="2"/>
        <v>4.0892362633353899E-2</v>
      </c>
      <c r="K8" s="16">
        <f>('Inputs and Chart'!$B$9*'Advanced Returns'!C8)+(('Inputs and Chart'!$B$10*'Advanced Returns'!D8)+('Inputs and Chart'!$B$11*'Advanced Returns'!E8)+('Inputs and Chart'!$B$12*'Advanced Returns'!F8)+('Inputs and Chart'!$B$13*'Advanced Returns'!G8)+('Inputs and Chart'!$B$14*'Advanced Returns'!H8)+('Inputs and Chart'!$B$15*'Advanced Returns'!I8)+('Inputs and Chart'!$B$16*'Advanced Returns'!J8)-'Inputs and Chart'!$B$6)</f>
        <v>4.9089262827165289E-2</v>
      </c>
      <c r="M8" s="33"/>
    </row>
    <row r="9" spans="1:13" x14ac:dyDescent="0.4">
      <c r="A9" s="3">
        <v>1935</v>
      </c>
      <c r="B9" s="2">
        <v>2.98507456072412E-2</v>
      </c>
      <c r="C9" s="2">
        <v>0.47656357234639002</v>
      </c>
      <c r="D9" s="2">
        <v>0.44431310339522501</v>
      </c>
      <c r="E9" s="2">
        <v>1.6862956558094701E-3</v>
      </c>
      <c r="F9" s="2">
        <v>7.0066182530383395E-2</v>
      </c>
      <c r="G9" s="2">
        <v>0.59190508514407802</v>
      </c>
      <c r="H9" s="48">
        <f t="shared" si="0"/>
        <v>0.44431310339522501</v>
      </c>
      <c r="I9" s="48">
        <f t="shared" si="1"/>
        <v>0.44431310339522501</v>
      </c>
      <c r="J9" s="48">
        <f t="shared" si="2"/>
        <v>0.44431310339522501</v>
      </c>
      <c r="K9" s="16">
        <f>('Inputs and Chart'!$B$9*'Advanced Returns'!C9)+(('Inputs and Chart'!$B$10*'Advanced Returns'!D9)+('Inputs and Chart'!$B$11*'Advanced Returns'!E9)+('Inputs and Chart'!$B$12*'Advanced Returns'!F9)+('Inputs and Chart'!$B$13*'Advanced Returns'!G9)+('Inputs and Chart'!$B$14*'Advanced Returns'!H9)+('Inputs and Chart'!$B$15*'Advanced Returns'!I9)+('Inputs and Chart'!$B$16*'Advanced Returns'!J9)-'Inputs and Chart'!$B$6)</f>
        <v>0.32472283259005585</v>
      </c>
      <c r="M9" s="33"/>
    </row>
    <row r="10" spans="1:13" x14ac:dyDescent="0.4">
      <c r="A10" s="3">
        <v>1936</v>
      </c>
      <c r="B10" s="2">
        <v>1.4492753945454901E-2</v>
      </c>
      <c r="C10" s="2">
        <v>0.33922402097695098</v>
      </c>
      <c r="D10" s="2">
        <v>0.32318248463502802</v>
      </c>
      <c r="E10" s="2">
        <v>1.77441615910023E-3</v>
      </c>
      <c r="F10" s="2">
        <v>3.0569778336188898E-2</v>
      </c>
      <c r="G10" s="2">
        <v>0.56308250723017195</v>
      </c>
      <c r="H10" s="48">
        <f t="shared" si="0"/>
        <v>0.32318248463502802</v>
      </c>
      <c r="I10" s="48">
        <f t="shared" si="1"/>
        <v>0.32318248463502802</v>
      </c>
      <c r="J10" s="48">
        <f t="shared" si="2"/>
        <v>0.32318248463502802</v>
      </c>
      <c r="K10" s="16">
        <f>('Inputs and Chart'!$B$9*'Advanced Returns'!C10)+(('Inputs and Chart'!$B$10*'Advanced Returns'!D10)+('Inputs and Chart'!$B$11*'Advanced Returns'!E10)+('Inputs and Chart'!$B$12*'Advanced Returns'!F10)+('Inputs and Chart'!$B$13*'Advanced Returns'!G10)+('Inputs and Chart'!$B$14*'Advanced Returns'!H10)+('Inputs and Chart'!$B$15*'Advanced Returns'!I10)+('Inputs and Chart'!$B$16*'Advanced Returns'!J10)-'Inputs and Chart'!$B$6)</f>
        <v>0.23512941587699523</v>
      </c>
      <c r="M10" s="33"/>
    </row>
    <row r="11" spans="1:13" x14ac:dyDescent="0.4">
      <c r="A11" s="3">
        <v>1937</v>
      </c>
      <c r="B11" s="2">
        <v>2.8571428962181698E-2</v>
      </c>
      <c r="C11" s="2">
        <v>-0.35022760120221902</v>
      </c>
      <c r="D11" s="2">
        <v>-0.34736267187279402</v>
      </c>
      <c r="E11" s="2">
        <v>3.0792020757810499E-3</v>
      </c>
      <c r="F11" s="2">
        <v>1.5581317292904E-2</v>
      </c>
      <c r="G11" s="2">
        <v>-0.49054674786487801</v>
      </c>
      <c r="H11" s="48">
        <f t="shared" si="0"/>
        <v>-0.34736267187279402</v>
      </c>
      <c r="I11" s="48">
        <f t="shared" si="1"/>
        <v>-0.34736267187279402</v>
      </c>
      <c r="J11" s="48">
        <f>D11</f>
        <v>-0.34736267187279402</v>
      </c>
      <c r="K11" s="16">
        <f>('Inputs and Chart'!$B$9*'Advanced Returns'!C11)+(('Inputs and Chart'!$B$10*'Advanced Returns'!D11)+('Inputs and Chart'!$B$11*'Advanced Returns'!E11)+('Inputs and Chart'!$B$12*'Advanced Returns'!F11)+('Inputs and Chart'!$B$13*'Advanced Returns'!G11)+('Inputs and Chart'!$B$14*'Advanced Returns'!H11)+('Inputs and Chart'!$B$15*'Advanced Returns'!I11)+('Inputs and Chart'!$B$16*'Advanced Returns'!J11)-'Inputs and Chart'!$B$6)</f>
        <v>-0.25896538665590613</v>
      </c>
      <c r="M11" s="33"/>
    </row>
    <row r="12" spans="1:13" x14ac:dyDescent="0.4">
      <c r="A12" s="3">
        <v>1938</v>
      </c>
      <c r="B12" s="2">
        <v>-2.7777778830841E-2</v>
      </c>
      <c r="C12" s="2">
        <v>0.31136811279091098</v>
      </c>
      <c r="D12" s="2">
        <v>0.28162990548016298</v>
      </c>
      <c r="E12" s="2">
        <v>-1.6221578115249699E-4</v>
      </c>
      <c r="F12" s="2">
        <v>6.23030475364112E-2</v>
      </c>
      <c r="G12" s="2">
        <v>0.40405166276371202</v>
      </c>
      <c r="H12" s="48">
        <f t="shared" si="0"/>
        <v>0.28162990548016298</v>
      </c>
      <c r="I12" s="48">
        <f t="shared" si="1"/>
        <v>0.28162990548016298</v>
      </c>
      <c r="J12" s="48">
        <f t="shared" ref="J12:J63" si="3">D12</f>
        <v>0.28162990548016298</v>
      </c>
      <c r="K12" s="16">
        <f>('Inputs and Chart'!$B$9*'Advanced Returns'!C12)+(('Inputs and Chart'!$B$10*'Advanced Returns'!D12)+('Inputs and Chart'!$B$11*'Advanced Returns'!E12)+('Inputs and Chart'!$B$12*'Advanced Returns'!F12)+('Inputs and Chart'!$B$13*'Advanced Returns'!G12)+('Inputs and Chart'!$B$14*'Advanced Returns'!H12)+('Inputs and Chart'!$B$15*'Advanced Returns'!I12)+('Inputs and Chart'!$B$16*'Advanced Returns'!J12)-'Inputs and Chart'!$B$6)</f>
        <v>0.2074295394060261</v>
      </c>
      <c r="M12" s="33"/>
    </row>
    <row r="13" spans="1:13" x14ac:dyDescent="0.4">
      <c r="A13" s="3">
        <v>1939</v>
      </c>
      <c r="B13" s="2">
        <v>-1.1016263457008801E-9</v>
      </c>
      <c r="C13" s="2">
        <v>-4.2237308645644003E-3</v>
      </c>
      <c r="D13" s="2">
        <v>2.82556984709668E-2</v>
      </c>
      <c r="E13" s="2">
        <v>2.04994109742618E-4</v>
      </c>
      <c r="F13" s="2">
        <v>4.5243852443176399E-2</v>
      </c>
      <c r="G13" s="2">
        <v>3.7219637444410501E-2</v>
      </c>
      <c r="H13" s="48">
        <f t="shared" si="0"/>
        <v>2.82556984709668E-2</v>
      </c>
      <c r="I13" s="48">
        <f t="shared" si="1"/>
        <v>2.82556984709668E-2</v>
      </c>
      <c r="J13" s="48">
        <f t="shared" si="3"/>
        <v>2.82556984709668E-2</v>
      </c>
      <c r="K13" s="16">
        <f>('Inputs and Chart'!$B$9*'Advanced Returns'!C13)+(('Inputs and Chart'!$B$10*'Advanced Returns'!D13)+('Inputs and Chart'!$B$11*'Advanced Returns'!E13)+('Inputs and Chart'!$B$12*'Advanced Returns'!F13)+('Inputs and Chart'!$B$13*'Advanced Returns'!G13)+('Inputs and Chart'!$B$14*'Advanced Returns'!H13)+('Inputs and Chart'!$B$15*'Advanced Returns'!I13)+('Inputs and Chart'!$B$16*'Advanced Returns'!J13)-'Inputs and Chart'!$B$6)</f>
        <v>1.9592321995600046E-2</v>
      </c>
      <c r="M13" s="33"/>
    </row>
    <row r="14" spans="1:13" x14ac:dyDescent="0.4">
      <c r="A14" s="3">
        <v>1940</v>
      </c>
      <c r="B14" s="2">
        <v>7.1428569732801001E-3</v>
      </c>
      <c r="C14" s="2">
        <v>-9.77883629758554E-2</v>
      </c>
      <c r="D14" s="2">
        <v>-7.09463243204035E-2</v>
      </c>
      <c r="E14" s="2">
        <v>4.7978978263918399E-5</v>
      </c>
      <c r="F14" s="2">
        <v>2.96141256064264E-2</v>
      </c>
      <c r="G14" s="2">
        <v>-5.9306370158296103E-2</v>
      </c>
      <c r="H14" s="48">
        <f t="shared" si="0"/>
        <v>-7.09463243204035E-2</v>
      </c>
      <c r="I14" s="48">
        <f t="shared" si="1"/>
        <v>-7.09463243204035E-2</v>
      </c>
      <c r="J14" s="48">
        <f t="shared" si="3"/>
        <v>-7.09463243204035E-2</v>
      </c>
      <c r="K14" s="16">
        <f>('Inputs and Chart'!$B$9*'Advanced Returns'!C14)+(('Inputs and Chart'!$B$10*'Advanced Returns'!D14)+('Inputs and Chart'!$B$11*'Advanced Returns'!E14)+('Inputs and Chart'!$B$12*'Advanced Returns'!F14)+('Inputs and Chart'!$B$13*'Advanced Returns'!G14)+('Inputs and Chart'!$B$14*'Advanced Returns'!H14)+('Inputs and Chart'!$B$15*'Advanced Returns'!I14)+('Inputs and Chart'!$B$16*'Advanced Returns'!J14)-'Inputs and Chart'!$B$6)</f>
        <v>-5.3617463190262948E-2</v>
      </c>
      <c r="M14" s="33"/>
    </row>
    <row r="15" spans="1:13" x14ac:dyDescent="0.4">
      <c r="A15" s="3">
        <v>1941</v>
      </c>
      <c r="B15" s="2">
        <v>9.9290780456805297E-2</v>
      </c>
      <c r="C15" s="2">
        <v>-0.11576672234848499</v>
      </c>
      <c r="D15" s="2">
        <v>-0.100780292232219</v>
      </c>
      <c r="E15" s="2">
        <v>5.9710993039430204E-4</v>
      </c>
      <c r="F15" s="2">
        <v>4.9502080843706296E-3</v>
      </c>
      <c r="G15" s="2">
        <v>-0.10417685894788099</v>
      </c>
      <c r="H15" s="48">
        <f t="shared" si="0"/>
        <v>-0.100780292232219</v>
      </c>
      <c r="I15" s="48">
        <f t="shared" si="1"/>
        <v>-0.100780292232219</v>
      </c>
      <c r="J15" s="48">
        <f t="shared" si="3"/>
        <v>-0.100780292232219</v>
      </c>
      <c r="K15" s="16">
        <f>('Inputs and Chart'!$B$9*'Advanced Returns'!C15)+(('Inputs and Chart'!$B$10*'Advanced Returns'!D15)+('Inputs and Chart'!$B$11*'Advanced Returns'!E15)+('Inputs and Chart'!$B$12*'Advanced Returns'!F15)+('Inputs and Chart'!$B$13*'Advanced Returns'!G15)+('Inputs and Chart'!$B$14*'Advanced Returns'!H15)+('Inputs and Chart'!$B$15*'Advanced Returns'!I15)+('Inputs and Chart'!$B$16*'Advanced Returns'!J15)-'Inputs and Chart'!$B$6)</f>
        <v>-8.1465268557630754E-2</v>
      </c>
      <c r="M15" s="33"/>
    </row>
    <row r="16" spans="1:13" x14ac:dyDescent="0.4">
      <c r="A16" s="3">
        <v>1942</v>
      </c>
      <c r="B16" s="2">
        <v>9.0322580665645094E-2</v>
      </c>
      <c r="C16" s="2">
        <v>0.20332977512829101</v>
      </c>
      <c r="D16" s="2">
        <v>0.161224960199017</v>
      </c>
      <c r="E16" s="2">
        <v>2.68024766937658E-3</v>
      </c>
      <c r="F16" s="2">
        <v>1.9363238282572099E-2</v>
      </c>
      <c r="G16" s="2">
        <v>0.28497794386302899</v>
      </c>
      <c r="H16" s="48">
        <f t="shared" si="0"/>
        <v>0.161224960199017</v>
      </c>
      <c r="I16" s="48">
        <f t="shared" si="1"/>
        <v>0.161224960199017</v>
      </c>
      <c r="J16" s="48">
        <f t="shared" si="3"/>
        <v>0.161224960199017</v>
      </c>
      <c r="K16" s="16">
        <f>('Inputs and Chart'!$B$9*'Advanced Returns'!C16)+(('Inputs and Chart'!$B$10*'Advanced Returns'!D16)+('Inputs and Chart'!$B$11*'Advanced Returns'!E16)+('Inputs and Chart'!$B$12*'Advanced Returns'!F16)+('Inputs and Chart'!$B$13*'Advanced Returns'!G16)+('Inputs and Chart'!$B$14*'Advanced Returns'!H16)+('Inputs and Chart'!$B$15*'Advanced Returns'!I16)+('Inputs and Chart'!$B$16*'Advanced Returns'!J16)-'Inputs and Chart'!$B$6)</f>
        <v>0.11262633289657803</v>
      </c>
      <c r="M16" s="33"/>
    </row>
    <row r="17" spans="1:13" x14ac:dyDescent="0.4">
      <c r="A17" s="3">
        <v>1943</v>
      </c>
      <c r="B17" s="2">
        <v>2.9585798439667702E-2</v>
      </c>
      <c r="C17" s="2">
        <v>0.25907592215356101</v>
      </c>
      <c r="D17" s="2">
        <v>0.284267189871869</v>
      </c>
      <c r="E17" s="2">
        <v>3.4715095894823902E-3</v>
      </c>
      <c r="F17" s="2">
        <v>2.81003668220834E-2</v>
      </c>
      <c r="G17" s="2">
        <v>0.63643001334502403</v>
      </c>
      <c r="H17" s="48">
        <f t="shared" si="0"/>
        <v>0.284267189871869</v>
      </c>
      <c r="I17" s="48">
        <f t="shared" si="1"/>
        <v>0.284267189871869</v>
      </c>
      <c r="J17" s="48">
        <f t="shared" si="3"/>
        <v>0.284267189871869</v>
      </c>
      <c r="K17" s="16">
        <f>('Inputs and Chart'!$B$9*'Advanced Returns'!C17)+(('Inputs and Chart'!$B$10*'Advanced Returns'!D17)+('Inputs and Chart'!$B$11*'Advanced Returns'!E17)+('Inputs and Chart'!$B$12*'Advanced Returns'!F17)+('Inputs and Chart'!$B$13*'Advanced Returns'!G17)+('Inputs and Chart'!$B$14*'Advanced Returns'!H17)+('Inputs and Chart'!$B$15*'Advanced Returns'!I17)+('Inputs and Chart'!$B$16*'Advanced Returns'!J17)-'Inputs and Chart'!$B$6)</f>
        <v>0.21351943910397947</v>
      </c>
      <c r="M17" s="33"/>
    </row>
    <row r="18" spans="1:13" x14ac:dyDescent="0.4">
      <c r="A18" s="3">
        <v>1944</v>
      </c>
      <c r="B18" s="2">
        <v>2.2988505902784801E-2</v>
      </c>
      <c r="C18" s="2">
        <v>0.19729902572678901</v>
      </c>
      <c r="D18" s="2">
        <v>0.214907383492044</v>
      </c>
      <c r="E18" s="2">
        <v>3.3049925731793999E-3</v>
      </c>
      <c r="F18" s="2">
        <v>1.7952361955743599E-2</v>
      </c>
      <c r="G18" s="2">
        <v>0.452643019952508</v>
      </c>
      <c r="H18" s="48">
        <f t="shared" si="0"/>
        <v>0.214907383492044</v>
      </c>
      <c r="I18" s="48">
        <f t="shared" si="1"/>
        <v>0.214907383492044</v>
      </c>
      <c r="J18" s="48">
        <f t="shared" si="3"/>
        <v>0.214907383492044</v>
      </c>
      <c r="K18" s="16">
        <f>('Inputs and Chart'!$B$9*'Advanced Returns'!C18)+(('Inputs and Chart'!$B$10*'Advanced Returns'!D18)+('Inputs and Chart'!$B$11*'Advanced Returns'!E18)+('Inputs and Chart'!$B$12*'Advanced Returns'!F18)+('Inputs and Chart'!$B$13*'Advanced Returns'!G18)+('Inputs and Chart'!$B$14*'Advanced Returns'!H18)+('Inputs and Chart'!$B$15*'Advanced Returns'!I18)+('Inputs and Chart'!$B$16*'Advanced Returns'!J18)-'Inputs and Chart'!$B$6)</f>
        <v>0.15614019500370513</v>
      </c>
      <c r="M18" s="33"/>
    </row>
    <row r="19" spans="1:13" x14ac:dyDescent="0.4">
      <c r="A19" s="3">
        <v>1945</v>
      </c>
      <c r="B19" s="2">
        <v>2.24719103542372E-2</v>
      </c>
      <c r="C19" s="2">
        <v>0.36412247221543897</v>
      </c>
      <c r="D19" s="2">
        <v>0.38495633744874203</v>
      </c>
      <c r="E19" s="2">
        <v>3.2959633623994601E-3</v>
      </c>
      <c r="F19" s="2">
        <v>2.2189430858581299E-2</v>
      </c>
      <c r="G19" s="2">
        <v>0.673251597843468</v>
      </c>
      <c r="H19" s="48">
        <f t="shared" si="0"/>
        <v>0.38495633744874203</v>
      </c>
      <c r="I19" s="48">
        <f t="shared" si="1"/>
        <v>0.38495633744874203</v>
      </c>
      <c r="J19" s="48">
        <f t="shared" si="3"/>
        <v>0.38495633744874203</v>
      </c>
      <c r="K19" s="16">
        <f>('Inputs and Chart'!$B$9*'Advanced Returns'!C19)+(('Inputs and Chart'!$B$10*'Advanced Returns'!D19)+('Inputs and Chart'!$B$11*'Advanced Returns'!E19)+('Inputs and Chart'!$B$12*'Advanced Returns'!F19)+('Inputs and Chart'!$B$13*'Advanced Returns'!G19)+('Inputs and Chart'!$B$14*'Advanced Returns'!H19)+('Inputs and Chart'!$B$15*'Advanced Returns'!I19)+('Inputs and Chart'!$B$16*'Advanced Returns'!J19)-'Inputs and Chart'!$B$6)</f>
        <v>0.27900900189255518</v>
      </c>
      <c r="M19" s="33"/>
    </row>
    <row r="20" spans="1:13" x14ac:dyDescent="0.4">
      <c r="A20" s="3">
        <v>1946</v>
      </c>
      <c r="B20" s="2">
        <v>0.181318682159817</v>
      </c>
      <c r="C20" s="2">
        <v>-8.0743250179366094E-2</v>
      </c>
      <c r="D20" s="2">
        <v>-6.1740523342498799E-2</v>
      </c>
      <c r="E20" s="2">
        <v>3.5306996692177099E-3</v>
      </c>
      <c r="F20" s="2">
        <v>1.00453335843578E-2</v>
      </c>
      <c r="G20" s="2">
        <v>-0.113265818041504</v>
      </c>
      <c r="H20" s="48">
        <f t="shared" si="0"/>
        <v>-6.1740523342498799E-2</v>
      </c>
      <c r="I20" s="48">
        <f t="shared" si="1"/>
        <v>-6.1740523342498799E-2</v>
      </c>
      <c r="J20" s="48">
        <f t="shared" si="3"/>
        <v>-6.1740523342498799E-2</v>
      </c>
      <c r="K20" s="16">
        <f>('Inputs and Chart'!$B$9*'Advanced Returns'!C20)+(('Inputs and Chart'!$B$10*'Advanced Returns'!D20)+('Inputs and Chart'!$B$11*'Advanced Returns'!E20)+('Inputs and Chart'!$B$12*'Advanced Returns'!F20)+('Inputs and Chart'!$B$13*'Advanced Returns'!G20)+('Inputs and Chart'!$B$14*'Advanced Returns'!H20)+('Inputs and Chart'!$B$15*'Advanced Returns'!I20)+('Inputs and Chart'!$B$16*'Advanced Returns'!J20)-'Inputs and Chart'!$B$6)</f>
        <v>-5.5359236639174206E-2</v>
      </c>
      <c r="M20" s="33"/>
    </row>
    <row r="21" spans="1:13" x14ac:dyDescent="0.4">
      <c r="A21" s="3">
        <v>1947</v>
      </c>
      <c r="B21" s="2">
        <v>8.8372092907330196E-2</v>
      </c>
      <c r="C21" s="2">
        <v>5.69655815016505E-2</v>
      </c>
      <c r="D21" s="2">
        <v>3.5848894119038202E-2</v>
      </c>
      <c r="E21" s="2">
        <v>5.0343719280925301E-3</v>
      </c>
      <c r="F21" s="2">
        <v>9.1096175941418594E-3</v>
      </c>
      <c r="G21" s="2">
        <v>-3.0559785616838801E-2</v>
      </c>
      <c r="H21" s="48">
        <f t="shared" si="0"/>
        <v>3.5848894119038202E-2</v>
      </c>
      <c r="I21" s="48">
        <f t="shared" si="1"/>
        <v>3.5848894119038202E-2</v>
      </c>
      <c r="J21" s="48">
        <f t="shared" si="3"/>
        <v>3.5848894119038202E-2</v>
      </c>
      <c r="K21" s="16">
        <f>('Inputs and Chart'!$B$9*'Advanced Returns'!C21)+(('Inputs and Chart'!$B$10*'Advanced Returns'!D21)+('Inputs and Chart'!$B$11*'Advanced Returns'!E21)+('Inputs and Chart'!$B$12*'Advanced Returns'!F21)+('Inputs and Chart'!$B$13*'Advanced Returns'!G21)+('Inputs and Chart'!$B$14*'Advanced Returns'!H21)+('Inputs and Chart'!$B$15*'Advanced Returns'!I21)+('Inputs and Chart'!$B$16*'Advanced Returns'!J21)-'Inputs and Chart'!$B$6)</f>
        <v>1.1977512360767186E-2</v>
      </c>
      <c r="M21" s="33"/>
    </row>
    <row r="22" spans="1:13" x14ac:dyDescent="0.4">
      <c r="A22" s="3">
        <v>1948</v>
      </c>
      <c r="B22" s="2">
        <v>2.9914531167561698E-2</v>
      </c>
      <c r="C22" s="2">
        <v>5.5108224952932897E-2</v>
      </c>
      <c r="D22" s="2">
        <v>2.10895574090804E-2</v>
      </c>
      <c r="E22" s="2">
        <v>8.1117540746014107E-3</v>
      </c>
      <c r="F22" s="2">
        <v>1.8476263603285598E-2</v>
      </c>
      <c r="G22" s="2">
        <v>-4.58690611469902E-2</v>
      </c>
      <c r="H22" s="48">
        <f t="shared" si="0"/>
        <v>2.10895574090804E-2</v>
      </c>
      <c r="I22" s="48">
        <f t="shared" si="1"/>
        <v>2.10895574090804E-2</v>
      </c>
      <c r="J22" s="48">
        <f t="shared" si="3"/>
        <v>2.10895574090804E-2</v>
      </c>
      <c r="K22" s="16">
        <f>('Inputs and Chart'!$B$9*'Advanced Returns'!C22)+(('Inputs and Chart'!$B$10*'Advanced Returns'!D22)+('Inputs and Chart'!$B$11*'Advanced Returns'!E22)+('Inputs and Chart'!$B$12*'Advanced Returns'!F22)+('Inputs and Chart'!$B$13*'Advanced Returns'!G22)+('Inputs and Chart'!$B$14*'Advanced Returns'!H22)+('Inputs and Chart'!$B$15*'Advanced Returns'!I22)+('Inputs and Chart'!$B$16*'Advanced Returns'!J22)-'Inputs and Chart'!$B$6)</f>
        <v>4.1113156321794762E-3</v>
      </c>
      <c r="M22" s="33"/>
    </row>
    <row r="23" spans="1:13" x14ac:dyDescent="0.4">
      <c r="A23" s="3">
        <v>1949</v>
      </c>
      <c r="B23" s="2">
        <v>-2.07468872006695E-2</v>
      </c>
      <c r="C23" s="2">
        <v>0.187862140008587</v>
      </c>
      <c r="D23" s="2">
        <v>0.20217960398737</v>
      </c>
      <c r="E23" s="2">
        <v>1.1026319784542399E-2</v>
      </c>
      <c r="F23" s="2">
        <v>2.3231030241639399E-2</v>
      </c>
      <c r="G23" s="2">
        <v>0.21315615620800399</v>
      </c>
      <c r="H23" s="48">
        <f t="shared" si="0"/>
        <v>0.20217960398737</v>
      </c>
      <c r="I23" s="48">
        <f t="shared" si="1"/>
        <v>0.20217960398737</v>
      </c>
      <c r="J23" s="48">
        <f t="shared" si="3"/>
        <v>0.20217960398737</v>
      </c>
      <c r="K23" s="16">
        <f>('Inputs and Chart'!$B$9*'Advanced Returns'!C23)+(('Inputs and Chart'!$B$10*'Advanced Returns'!D23)+('Inputs and Chart'!$B$11*'Advanced Returns'!E23)+('Inputs and Chart'!$B$12*'Advanced Returns'!F23)+('Inputs and Chart'!$B$13*'Advanced Returns'!G23)+('Inputs and Chart'!$B$14*'Advanced Returns'!H23)+('Inputs and Chart'!$B$15*'Advanced Returns'!I23)+('Inputs and Chart'!$B$16*'Advanced Returns'!J23)-'Inputs and Chart'!$B$6)</f>
        <v>0.13648740905770876</v>
      </c>
      <c r="M23" s="33"/>
    </row>
    <row r="24" spans="1:13" x14ac:dyDescent="0.4">
      <c r="A24" s="3">
        <v>1950</v>
      </c>
      <c r="B24" s="2">
        <v>5.9322032928727002E-2</v>
      </c>
      <c r="C24" s="2">
        <v>0.31740852977829398</v>
      </c>
      <c r="D24" s="2">
        <v>0.29610496102878803</v>
      </c>
      <c r="E24" s="2">
        <v>1.1955973790744199E-2</v>
      </c>
      <c r="F24" s="2">
        <v>7.0123549824359097E-3</v>
      </c>
      <c r="G24" s="2">
        <v>0.38211229410535902</v>
      </c>
      <c r="H24" s="48">
        <f t="shared" si="0"/>
        <v>0.29610496102878803</v>
      </c>
      <c r="I24" s="48">
        <f t="shared" si="1"/>
        <v>0.29610496102878803</v>
      </c>
      <c r="J24" s="48">
        <f t="shared" si="3"/>
        <v>0.29610496102878803</v>
      </c>
      <c r="K24" s="16">
        <f>('Inputs and Chart'!$B$9*'Advanced Returns'!C24)+(('Inputs and Chart'!$B$10*'Advanced Returns'!D24)+('Inputs and Chart'!$B$11*'Advanced Returns'!E24)+('Inputs and Chart'!$B$12*'Advanced Returns'!F24)+('Inputs and Chart'!$B$13*'Advanced Returns'!G24)+('Inputs and Chart'!$B$14*'Advanced Returns'!H24)+('Inputs and Chart'!$B$15*'Advanced Returns'!I24)+('Inputs and Chart'!$B$16*'Advanced Returns'!J24)-'Inputs and Chart'!$B$6)</f>
        <v>0.20234616274120154</v>
      </c>
      <c r="M24" s="33"/>
    </row>
    <row r="25" spans="1:13" x14ac:dyDescent="0.4">
      <c r="A25" s="3">
        <v>1951</v>
      </c>
      <c r="B25" s="2">
        <v>6.0000001981501898E-2</v>
      </c>
      <c r="C25" s="2">
        <v>0.240159419064956</v>
      </c>
      <c r="D25" s="2">
        <v>0.20681888890524</v>
      </c>
      <c r="E25" s="2">
        <v>1.49280626788948E-2</v>
      </c>
      <c r="F25" s="2">
        <v>3.6198375734095602E-3</v>
      </c>
      <c r="G25" s="2">
        <v>0.14407397331317101</v>
      </c>
      <c r="H25" s="48">
        <f t="shared" si="0"/>
        <v>0.20681888890524</v>
      </c>
      <c r="I25" s="48">
        <f t="shared" si="1"/>
        <v>0.20681888890524</v>
      </c>
      <c r="J25" s="48">
        <f t="shared" si="3"/>
        <v>0.20681888890524</v>
      </c>
      <c r="K25" s="16">
        <f>('Inputs and Chart'!$B$9*'Advanced Returns'!C25)+(('Inputs and Chart'!$B$10*'Advanced Returns'!D25)+('Inputs and Chart'!$B$11*'Advanced Returns'!E25)+('Inputs and Chart'!$B$12*'Advanced Returns'!F25)+('Inputs and Chart'!$B$13*'Advanced Returns'!G25)+('Inputs and Chart'!$B$14*'Advanced Returns'!H25)+('Inputs and Chart'!$B$15*'Advanced Returns'!I25)+('Inputs and Chart'!$B$16*'Advanced Returns'!J25)-'Inputs and Chart'!$B$6)</f>
        <v>0.13097988889496051</v>
      </c>
      <c r="M25" s="33"/>
    </row>
    <row r="26" spans="1:13" x14ac:dyDescent="0.4">
      <c r="A26" s="3">
        <v>1952</v>
      </c>
      <c r="B26" s="2">
        <v>7.54716965116953E-3</v>
      </c>
      <c r="C26" s="2">
        <v>0.18351009400481</v>
      </c>
      <c r="D26" s="2">
        <v>0.134165604655541</v>
      </c>
      <c r="E26" s="2">
        <v>1.6560126698379699E-2</v>
      </c>
      <c r="F26" s="2">
        <v>1.6331738295854301E-2</v>
      </c>
      <c r="G26" s="2">
        <v>9.0931153011577101E-2</v>
      </c>
      <c r="H26" s="48">
        <f t="shared" si="0"/>
        <v>0.134165604655541</v>
      </c>
      <c r="I26" s="48">
        <f t="shared" si="1"/>
        <v>0.134165604655541</v>
      </c>
      <c r="J26" s="48">
        <f t="shared" si="3"/>
        <v>0.134165604655541</v>
      </c>
      <c r="K26" s="16">
        <f>('Inputs and Chart'!$B$9*'Advanced Returns'!C26)+(('Inputs and Chart'!$B$10*'Advanced Returns'!D26)+('Inputs and Chart'!$B$11*'Advanced Returns'!E26)+('Inputs and Chart'!$B$12*'Advanced Returns'!F26)+('Inputs and Chart'!$B$13*'Advanced Returns'!G26)+('Inputs and Chart'!$B$14*'Advanced Returns'!H26)+('Inputs and Chart'!$B$15*'Advanced Returns'!I26)+('Inputs and Chart'!$B$16*'Advanced Returns'!J26)-'Inputs and Chart'!$B$6)</f>
        <v>8.4453292772507654E-2</v>
      </c>
      <c r="M26" s="33"/>
    </row>
    <row r="27" spans="1:13" x14ac:dyDescent="0.4">
      <c r="A27" s="3">
        <v>1953</v>
      </c>
      <c r="B27" s="2">
        <v>7.4906361015489899E-3</v>
      </c>
      <c r="C27" s="2">
        <v>-9.7513299601388308E-3</v>
      </c>
      <c r="D27" s="2">
        <v>6.7148379359010003E-3</v>
      </c>
      <c r="E27" s="2">
        <v>1.82371852832297E-2</v>
      </c>
      <c r="F27" s="2">
        <v>3.2323635693735503E-2</v>
      </c>
      <c r="G27" s="2">
        <v>-3.4195988653732703E-2</v>
      </c>
      <c r="H27" s="48">
        <f t="shared" si="0"/>
        <v>6.7148379359010003E-3</v>
      </c>
      <c r="I27" s="48">
        <f t="shared" si="1"/>
        <v>6.7148379359010003E-3</v>
      </c>
      <c r="J27" s="48">
        <f t="shared" si="3"/>
        <v>6.7148379359010003E-3</v>
      </c>
      <c r="K27" s="16">
        <f>('Inputs and Chart'!$B$9*'Advanced Returns'!C27)+(('Inputs and Chart'!$B$10*'Advanced Returns'!D27)+('Inputs and Chart'!$B$11*'Advanced Returns'!E27)+('Inputs and Chart'!$B$12*'Advanced Returns'!F27)+('Inputs and Chart'!$B$13*'Advanced Returns'!G27)+('Inputs and Chart'!$B$14*'Advanced Returns'!H27)+('Inputs and Chart'!$B$15*'Advanced Returns'!I27)+('Inputs and Chart'!$B$16*'Advanced Returns'!J27)-'Inputs and Chart'!$B$6)</f>
        <v>-5.5284963704482944E-4</v>
      </c>
      <c r="M27" s="33"/>
    </row>
    <row r="28" spans="1:13" x14ac:dyDescent="0.4">
      <c r="A28" s="3">
        <v>1954</v>
      </c>
      <c r="B28" s="2">
        <v>-7.4349439987871904E-3</v>
      </c>
      <c r="C28" s="2">
        <v>0.52622200300720401</v>
      </c>
      <c r="D28" s="2">
        <v>0.49977734501384602</v>
      </c>
      <c r="E28" s="2">
        <v>8.6388346573760301E-3</v>
      </c>
      <c r="F28" s="2">
        <v>2.68241133092539E-2</v>
      </c>
      <c r="G28" s="2">
        <v>0.58714468426046296</v>
      </c>
      <c r="H28" s="48">
        <f t="shared" si="0"/>
        <v>0.49977734501384602</v>
      </c>
      <c r="I28" s="48">
        <f t="shared" si="1"/>
        <v>0.49977734501384602</v>
      </c>
      <c r="J28" s="48">
        <f t="shared" si="3"/>
        <v>0.49977734501384602</v>
      </c>
      <c r="K28" s="16">
        <f>('Inputs and Chart'!$B$9*'Advanced Returns'!C28)+(('Inputs and Chart'!$B$10*'Advanced Returns'!D28)+('Inputs and Chart'!$B$11*'Advanced Returns'!E28)+('Inputs and Chart'!$B$12*'Advanced Returns'!F28)+('Inputs and Chart'!$B$13*'Advanced Returns'!G28)+('Inputs and Chart'!$B$14*'Advanced Returns'!H28)+('Inputs and Chart'!$B$15*'Advanced Returns'!I28)+('Inputs and Chart'!$B$16*'Advanced Returns'!J28)-'Inputs and Chart'!$B$6)</f>
        <v>0.34977857849451377</v>
      </c>
      <c r="M28" s="33"/>
    </row>
    <row r="29" spans="1:13" x14ac:dyDescent="0.4">
      <c r="A29" s="3">
        <v>1955</v>
      </c>
      <c r="B29" s="2">
        <v>3.7453178362640799E-3</v>
      </c>
      <c r="C29" s="2">
        <v>0.31539137314089599</v>
      </c>
      <c r="D29" s="2">
        <v>0.25214167883414201</v>
      </c>
      <c r="E29" s="2">
        <v>1.5736551358245001E-2</v>
      </c>
      <c r="F29" s="2">
        <v>-6.5048765842497004E-3</v>
      </c>
      <c r="G29" s="2">
        <v>0.2100893638461</v>
      </c>
      <c r="H29" s="48">
        <f t="shared" si="0"/>
        <v>0.25214167883414201</v>
      </c>
      <c r="I29" s="48">
        <f t="shared" si="1"/>
        <v>0.25214167883414201</v>
      </c>
      <c r="J29" s="48">
        <f t="shared" si="3"/>
        <v>0.25214167883414201</v>
      </c>
      <c r="K29" s="16">
        <f>('Inputs and Chart'!$B$9*'Advanced Returns'!C29)+(('Inputs and Chart'!$B$10*'Advanced Returns'!D29)+('Inputs and Chart'!$B$11*'Advanced Returns'!E29)+('Inputs and Chart'!$B$12*'Advanced Returns'!F29)+('Inputs and Chart'!$B$13*'Advanced Returns'!G29)+('Inputs and Chart'!$B$14*'Advanced Returns'!H29)+('Inputs and Chart'!$B$15*'Advanced Returns'!I29)+('Inputs and Chart'!$B$16*'Advanced Returns'!J29)-'Inputs and Chart'!$B$6)</f>
        <v>0.16135111151290574</v>
      </c>
      <c r="M29" s="33"/>
    </row>
    <row r="30" spans="1:13" x14ac:dyDescent="0.4">
      <c r="A30" s="3">
        <v>1956</v>
      </c>
      <c r="B30" s="2">
        <v>2.9850745977941101E-2</v>
      </c>
      <c r="C30" s="2">
        <v>6.5553745359201193E-2</v>
      </c>
      <c r="D30" s="2">
        <v>8.2647745060050404E-2</v>
      </c>
      <c r="E30" s="2">
        <v>2.4592453777157099E-2</v>
      </c>
      <c r="F30" s="2">
        <v>-4.2108980640140903E-3</v>
      </c>
      <c r="G30" s="2">
        <v>6.03162664431851E-2</v>
      </c>
      <c r="H30" s="48">
        <f t="shared" si="0"/>
        <v>8.2647745060050404E-2</v>
      </c>
      <c r="I30" s="48">
        <f t="shared" si="1"/>
        <v>8.2647745060050404E-2</v>
      </c>
      <c r="J30" s="48">
        <f t="shared" si="3"/>
        <v>8.2647745060050404E-2</v>
      </c>
      <c r="K30" s="16">
        <f>('Inputs and Chart'!$B$9*'Advanced Returns'!C30)+(('Inputs and Chart'!$B$10*'Advanced Returns'!D30)+('Inputs and Chart'!$B$11*'Advanced Returns'!E30)+('Inputs and Chart'!$B$12*'Advanced Returns'!F30)+('Inputs and Chart'!$B$13*'Advanced Returns'!G30)+('Inputs and Chart'!$B$14*'Advanced Returns'!H30)+('Inputs and Chart'!$B$15*'Advanced Returns'!I30)+('Inputs and Chart'!$B$16*'Advanced Returns'!J30)-'Inputs and Chart'!$B$6)</f>
        <v>4.4804321538823702E-2</v>
      </c>
      <c r="M30" s="33"/>
    </row>
    <row r="31" spans="1:13" x14ac:dyDescent="0.4">
      <c r="A31" s="3">
        <v>1957</v>
      </c>
      <c r="B31" s="2">
        <v>2.89855066298947E-2</v>
      </c>
      <c r="C31" s="2">
        <v>-0.107914266401983</v>
      </c>
      <c r="D31" s="2">
        <v>-0.100469022990861</v>
      </c>
      <c r="E31" s="2">
        <v>3.1390539080231802E-2</v>
      </c>
      <c r="F31" s="2">
        <v>7.8385283550163304E-2</v>
      </c>
      <c r="G31" s="2">
        <v>-0.17386222722993599</v>
      </c>
      <c r="H31" s="48">
        <f t="shared" si="0"/>
        <v>-0.100469022990861</v>
      </c>
      <c r="I31" s="48">
        <f t="shared" si="1"/>
        <v>-0.100469022990861</v>
      </c>
      <c r="J31" s="48">
        <f t="shared" si="3"/>
        <v>-0.100469022990861</v>
      </c>
      <c r="K31" s="16">
        <f>('Inputs and Chart'!$B$9*'Advanced Returns'!C31)+(('Inputs and Chart'!$B$10*'Advanced Returns'!D31)+('Inputs and Chart'!$B$11*'Advanced Returns'!E31)+('Inputs and Chart'!$B$12*'Advanced Returns'!F31)+('Inputs and Chart'!$B$13*'Advanced Returns'!G31)+('Inputs and Chart'!$B$14*'Advanced Returns'!H31)+('Inputs and Chart'!$B$15*'Advanced Returns'!I31)+('Inputs and Chart'!$B$16*'Advanced Returns'!J31)-'Inputs and Chart'!$B$6)</f>
        <v>-6.5191755164775489E-2</v>
      </c>
      <c r="M31" s="33"/>
    </row>
    <row r="32" spans="1:13" x14ac:dyDescent="0.4">
      <c r="A32" s="3">
        <v>1958</v>
      </c>
      <c r="B32" s="2">
        <v>1.7605634572750401E-2</v>
      </c>
      <c r="C32" s="2">
        <v>0.433716443081126</v>
      </c>
      <c r="D32" s="2">
        <v>0.45021991796657601</v>
      </c>
      <c r="E32" s="2">
        <v>1.54147139647338E-2</v>
      </c>
      <c r="F32" s="2">
        <v>-1.2884973415683201E-2</v>
      </c>
      <c r="G32" s="2">
        <v>0.63330362847349397</v>
      </c>
      <c r="H32" s="48">
        <f t="shared" si="0"/>
        <v>0.45021991796657601</v>
      </c>
      <c r="I32" s="48">
        <f t="shared" si="1"/>
        <v>0.45021991796657601</v>
      </c>
      <c r="J32" s="48">
        <f t="shared" si="3"/>
        <v>0.45021991796657601</v>
      </c>
      <c r="K32" s="16">
        <f>('Inputs and Chart'!$B$9*'Advanced Returns'!C32)+(('Inputs and Chart'!$B$10*'Advanced Returns'!D32)+('Inputs and Chart'!$B$11*'Advanced Returns'!E32)+('Inputs and Chart'!$B$12*'Advanced Returns'!F32)+('Inputs and Chart'!$B$13*'Advanced Returns'!G32)+('Inputs and Chart'!$B$14*'Advanced Returns'!H32)+('Inputs and Chart'!$B$15*'Advanced Returns'!I32)+('Inputs and Chart'!$B$16*'Advanced Returns'!J32)-'Inputs and Chart'!$B$6)</f>
        <v>0.31075473062774883</v>
      </c>
      <c r="M32" s="33"/>
    </row>
    <row r="33" spans="1:13" x14ac:dyDescent="0.4">
      <c r="A33" s="3">
        <v>1959</v>
      </c>
      <c r="B33" s="2">
        <v>1.7301038913637701E-2</v>
      </c>
      <c r="C33" s="2">
        <v>0.119768462381524</v>
      </c>
      <c r="D33" s="2">
        <v>0.126686827044764</v>
      </c>
      <c r="E33" s="2">
        <v>2.9519662798209698E-2</v>
      </c>
      <c r="F33" s="2">
        <v>-3.9063583510663396E-3</v>
      </c>
      <c r="G33" s="2">
        <v>0.174971795559865</v>
      </c>
      <c r="H33" s="48">
        <f t="shared" si="0"/>
        <v>0.126686827044764</v>
      </c>
      <c r="I33" s="48">
        <f t="shared" si="1"/>
        <v>0.126686827044764</v>
      </c>
      <c r="J33" s="48">
        <f t="shared" si="3"/>
        <v>0.126686827044764</v>
      </c>
      <c r="K33" s="16">
        <f>('Inputs and Chart'!$B$9*'Advanced Returns'!C33)+(('Inputs and Chart'!$B$10*'Advanced Returns'!D33)+('Inputs and Chart'!$B$11*'Advanced Returns'!E33)+('Inputs and Chart'!$B$12*'Advanced Returns'!F33)+('Inputs and Chart'!$B$13*'Advanced Returns'!G33)+('Inputs and Chart'!$B$14*'Advanced Returns'!H33)+('Inputs and Chart'!$B$15*'Advanced Returns'!I33)+('Inputs and Chart'!$B$16*'Advanced Returns'!J33)-'Inputs and Chart'!$B$6)</f>
        <v>7.9831017254957753E-2</v>
      </c>
      <c r="M33" s="33"/>
    </row>
    <row r="34" spans="1:13" x14ac:dyDescent="0.4">
      <c r="A34" s="3">
        <v>1960</v>
      </c>
      <c r="B34" s="2">
        <v>1.3605442629001799E-2</v>
      </c>
      <c r="C34" s="2">
        <v>4.64298138397168E-3</v>
      </c>
      <c r="D34" s="2">
        <v>1.1584243024978E-2</v>
      </c>
      <c r="E34" s="2">
        <v>2.6627389229078698E-2</v>
      </c>
      <c r="F34" s="2">
        <v>0.117561462866872</v>
      </c>
      <c r="G34" s="2">
        <v>-3.6392906755921203E-2</v>
      </c>
      <c r="H34" s="48">
        <f t="shared" si="0"/>
        <v>1.1584243024978E-2</v>
      </c>
      <c r="I34" s="48">
        <f t="shared" si="1"/>
        <v>1.1584243024978E-2</v>
      </c>
      <c r="J34" s="48">
        <f t="shared" si="3"/>
        <v>1.1584243024978E-2</v>
      </c>
      <c r="K34" s="16">
        <f>('Inputs and Chart'!$B$9*'Advanced Returns'!C34)+(('Inputs and Chart'!$B$10*'Advanced Returns'!D34)+('Inputs and Chart'!$B$11*'Advanced Returns'!E34)+('Inputs and Chart'!$B$12*'Advanced Returns'!F34)+('Inputs and Chart'!$B$13*'Advanced Returns'!G34)+('Inputs and Chart'!$B$14*'Advanced Returns'!H34)+('Inputs and Chart'!$B$15*'Advanced Returns'!I34)+('Inputs and Chart'!$B$16*'Advanced Returns'!J34)-'Inputs and Chart'!$B$6)</f>
        <v>2.4196759772685174E-2</v>
      </c>
      <c r="M34" s="33"/>
    </row>
    <row r="35" spans="1:13" x14ac:dyDescent="0.4">
      <c r="A35" s="3">
        <v>1961</v>
      </c>
      <c r="B35" s="2">
        <v>6.7114097326659303E-3</v>
      </c>
      <c r="C35" s="2">
        <v>0.26886103122549898</v>
      </c>
      <c r="D35" s="2">
        <v>0.26945797511508501</v>
      </c>
      <c r="E35" s="2">
        <v>2.12652628000469E-2</v>
      </c>
      <c r="F35" s="2">
        <v>1.8492575202738899E-2</v>
      </c>
      <c r="G35" s="2">
        <v>0.29719374014582001</v>
      </c>
      <c r="H35" s="48">
        <f t="shared" si="0"/>
        <v>0.26945797511508501</v>
      </c>
      <c r="I35" s="48">
        <f t="shared" si="1"/>
        <v>0.26945797511508501</v>
      </c>
      <c r="J35" s="48">
        <f t="shared" si="3"/>
        <v>0.26945797511508501</v>
      </c>
      <c r="K35" s="16">
        <f>('Inputs and Chart'!$B$9*'Advanced Returns'!C35)+(('Inputs and Chart'!$B$10*'Advanced Returns'!D35)+('Inputs and Chart'!$B$11*'Advanced Returns'!E35)+('Inputs and Chart'!$B$12*'Advanced Returns'!F35)+('Inputs and Chart'!$B$13*'Advanced Returns'!G35)+('Inputs and Chart'!$B$14*'Advanced Returns'!H35)+('Inputs and Chart'!$B$15*'Advanced Returns'!I35)+('Inputs and Chart'!$B$16*'Advanced Returns'!J35)-'Inputs and Chart'!$B$6)</f>
        <v>0.18382968302143393</v>
      </c>
      <c r="M35" s="33"/>
    </row>
    <row r="36" spans="1:13" x14ac:dyDescent="0.4">
      <c r="A36" s="3">
        <v>1962</v>
      </c>
      <c r="B36" s="2">
        <v>1.33333325448486E-2</v>
      </c>
      <c r="C36" s="2">
        <v>-8.7277729213963803E-2</v>
      </c>
      <c r="D36" s="2">
        <v>-0.101754861880897</v>
      </c>
      <c r="E36" s="2">
        <v>2.7336334512801701E-2</v>
      </c>
      <c r="F36" s="2">
        <v>5.5641087468275299E-2</v>
      </c>
      <c r="G36" s="2">
        <v>-0.17369407155557201</v>
      </c>
      <c r="H36" s="48">
        <f t="shared" si="0"/>
        <v>-0.101754861880897</v>
      </c>
      <c r="I36" s="48">
        <f t="shared" si="1"/>
        <v>-0.101754861880897</v>
      </c>
      <c r="J36" s="48">
        <f t="shared" si="3"/>
        <v>-0.101754861880897</v>
      </c>
      <c r="K36" s="16">
        <f>('Inputs and Chart'!$B$9*'Advanced Returns'!C36)+(('Inputs and Chart'!$B$10*'Advanced Returns'!D36)+('Inputs and Chart'!$B$11*'Advanced Returns'!E36)+('Inputs and Chart'!$B$12*'Advanced Returns'!F36)+('Inputs and Chart'!$B$13*'Advanced Returns'!G36)+('Inputs and Chart'!$B$14*'Advanced Returns'!H36)+('Inputs and Chart'!$B$15*'Advanced Returns'!I36)+('Inputs and Chart'!$B$16*'Advanced Returns'!J36)-'Inputs and Chart'!$B$6)</f>
        <v>-7.1900777335058647E-2</v>
      </c>
      <c r="M36" s="33"/>
    </row>
    <row r="37" spans="1:13" x14ac:dyDescent="0.4">
      <c r="A37" s="3">
        <v>1963</v>
      </c>
      <c r="B37" s="2">
        <v>1.6447369128213599E-2</v>
      </c>
      <c r="C37" s="2">
        <v>0.22775674606416901</v>
      </c>
      <c r="D37" s="2">
        <v>0.20977963420849099</v>
      </c>
      <c r="E37" s="2">
        <v>3.1165199276667301E-2</v>
      </c>
      <c r="F37" s="2">
        <v>1.6407080979535801E-2</v>
      </c>
      <c r="G37" s="2">
        <v>0.16557323843595301</v>
      </c>
      <c r="H37" s="48">
        <f t="shared" si="0"/>
        <v>0.20977963420849099</v>
      </c>
      <c r="I37" s="48">
        <f t="shared" si="1"/>
        <v>0.20977963420849099</v>
      </c>
      <c r="J37" s="48">
        <f t="shared" si="3"/>
        <v>0.20977963420849099</v>
      </c>
      <c r="K37" s="16">
        <f>('Inputs and Chart'!$B$9*'Advanced Returns'!C37)+(('Inputs and Chart'!$B$10*'Advanced Returns'!D37)+('Inputs and Chart'!$B$11*'Advanced Returns'!E37)+('Inputs and Chart'!$B$12*'Advanced Returns'!F37)+('Inputs and Chart'!$B$13*'Advanced Returns'!G37)+('Inputs and Chart'!$B$14*'Advanced Returns'!H37)+('Inputs and Chart'!$B$15*'Advanced Returns'!I37)+('Inputs and Chart'!$B$16*'Advanced Returns'!J37)-'Inputs and Chart'!$B$6)</f>
        <v>0.13807884302674867</v>
      </c>
      <c r="M37" s="33"/>
    </row>
    <row r="38" spans="1:13" x14ac:dyDescent="0.4">
      <c r="A38" s="3">
        <v>1964</v>
      </c>
      <c r="B38" s="2">
        <v>9.7087370011577096E-3</v>
      </c>
      <c r="C38" s="2">
        <v>0.16507729137017901</v>
      </c>
      <c r="D38" s="2">
        <v>0.16125933331464101</v>
      </c>
      <c r="E38" s="2">
        <v>3.5357190076457302E-2</v>
      </c>
      <c r="F38" s="2">
        <v>4.0433663003450797E-2</v>
      </c>
      <c r="G38" s="2">
        <v>0.17095976786232001</v>
      </c>
      <c r="H38" s="48">
        <f t="shared" si="0"/>
        <v>0.16125933331464101</v>
      </c>
      <c r="I38" s="48">
        <f t="shared" si="1"/>
        <v>0.16125933331464101</v>
      </c>
      <c r="J38" s="48">
        <f t="shared" si="3"/>
        <v>0.16125933331464101</v>
      </c>
      <c r="K38" s="16">
        <f>('Inputs and Chart'!$B$9*'Advanced Returns'!C38)+(('Inputs and Chart'!$B$10*'Advanced Returns'!D38)+('Inputs and Chart'!$B$11*'Advanced Returns'!E38)+('Inputs and Chart'!$B$12*'Advanced Returns'!F38)+('Inputs and Chart'!$B$13*'Advanced Returns'!G38)+('Inputs and Chart'!$B$14*'Advanced Returns'!H38)+('Inputs and Chart'!$B$15*'Advanced Returns'!I38)+('Inputs and Chart'!$B$16*'Advanced Returns'!J38)-'Inputs and Chart'!$B$6)</f>
        <v>0.11329036243160186</v>
      </c>
      <c r="M38" s="33"/>
    </row>
    <row r="39" spans="1:13" x14ac:dyDescent="0.4">
      <c r="A39" s="3">
        <v>1965</v>
      </c>
      <c r="B39" s="2">
        <v>1.9230768996140402E-2</v>
      </c>
      <c r="C39" s="2">
        <v>0.124523160023627</v>
      </c>
      <c r="D39" s="2">
        <v>0.144630822186298</v>
      </c>
      <c r="E39" s="2">
        <v>3.9272350536916099E-2</v>
      </c>
      <c r="F39" s="2">
        <v>1.0184278067063599E-2</v>
      </c>
      <c r="G39" s="2">
        <v>0.36013993175752701</v>
      </c>
      <c r="H39" s="48">
        <f t="shared" si="0"/>
        <v>0.144630822186298</v>
      </c>
      <c r="I39" s="48">
        <f t="shared" si="1"/>
        <v>0.144630822186298</v>
      </c>
      <c r="J39" s="48">
        <f t="shared" si="3"/>
        <v>0.144630822186298</v>
      </c>
      <c r="K39" s="16">
        <f>('Inputs and Chart'!$B$9*'Advanced Returns'!C39)+(('Inputs and Chart'!$B$10*'Advanced Returns'!D39)+('Inputs and Chart'!$B$11*'Advanced Returns'!E39)+('Inputs and Chart'!$B$12*'Advanced Returns'!F39)+('Inputs and Chart'!$B$13*'Advanced Returns'!G39)+('Inputs and Chart'!$B$14*'Advanced Returns'!H39)+('Inputs and Chart'!$B$15*'Advanced Returns'!I39)+('Inputs and Chart'!$B$16*'Advanced Returns'!J39)-'Inputs and Chart'!$B$6)</f>
        <v>0.10558271268948076</v>
      </c>
      <c r="M39" s="33"/>
    </row>
    <row r="40" spans="1:13" x14ac:dyDescent="0.4">
      <c r="A40" s="3">
        <v>1966</v>
      </c>
      <c r="B40" s="2">
        <v>3.4591195111199E-2</v>
      </c>
      <c r="C40" s="2">
        <v>-0.100478095861859</v>
      </c>
      <c r="D40" s="2">
        <v>-8.7402651524107297E-2</v>
      </c>
      <c r="E40" s="2">
        <v>4.7593116727165499E-2</v>
      </c>
      <c r="F40" s="2">
        <v>4.6880855578307602E-2</v>
      </c>
      <c r="G40" s="2">
        <v>-7.46642533199042E-2</v>
      </c>
      <c r="H40" s="48">
        <f t="shared" si="0"/>
        <v>-8.7402651524107297E-2</v>
      </c>
      <c r="I40" s="48">
        <f t="shared" si="1"/>
        <v>-8.7402651524107297E-2</v>
      </c>
      <c r="J40" s="48">
        <f t="shared" si="3"/>
        <v>-8.7402651524107297E-2</v>
      </c>
      <c r="K40" s="16">
        <f>('Inputs and Chart'!$B$9*'Advanced Returns'!C40)+(('Inputs and Chart'!$B$10*'Advanced Returns'!D40)+('Inputs and Chart'!$B$11*'Advanced Returns'!E40)+('Inputs and Chart'!$B$12*'Advanced Returns'!F40)+('Inputs and Chart'!$B$13*'Advanced Returns'!G40)+('Inputs and Chart'!$B$14*'Advanced Returns'!H40)+('Inputs and Chart'!$B$15*'Advanced Returns'!I40)+('Inputs and Chart'!$B$16*'Advanced Returns'!J40)-'Inputs and Chart'!$B$6)</f>
        <v>-5.8382648274529186E-2</v>
      </c>
      <c r="M40" s="33"/>
    </row>
    <row r="41" spans="1:13" x14ac:dyDescent="0.4">
      <c r="A41" s="3">
        <v>1967</v>
      </c>
      <c r="B41" s="2">
        <v>3.0395136828084601E-2</v>
      </c>
      <c r="C41" s="2">
        <v>0.23987110575469101</v>
      </c>
      <c r="D41" s="2">
        <v>0.287380379414093</v>
      </c>
      <c r="E41" s="2">
        <v>4.2100077219632298E-2</v>
      </c>
      <c r="F41" s="2">
        <v>1.0087658937857799E-2</v>
      </c>
      <c r="G41" s="2">
        <v>0.76357417264273797</v>
      </c>
      <c r="H41" s="48">
        <f t="shared" si="0"/>
        <v>0.287380379414093</v>
      </c>
      <c r="I41" s="48">
        <f t="shared" si="1"/>
        <v>0.287380379414093</v>
      </c>
      <c r="J41" s="48">
        <f t="shared" si="3"/>
        <v>0.287380379414093</v>
      </c>
      <c r="K41" s="16">
        <f>('Inputs and Chart'!$B$9*'Advanced Returns'!C41)+(('Inputs and Chart'!$B$10*'Advanced Returns'!D41)+('Inputs and Chart'!$B$11*'Advanced Returns'!E41)+('Inputs and Chart'!$B$12*'Advanced Returns'!F41)+('Inputs and Chart'!$B$13*'Advanced Returns'!G41)+('Inputs and Chart'!$B$14*'Advanced Returns'!H41)+('Inputs and Chart'!$B$15*'Advanced Returns'!I41)+('Inputs and Chart'!$B$16*'Advanced Returns'!J41)-'Inputs and Chart'!$B$6)</f>
        <v>0.21993622343356378</v>
      </c>
      <c r="M41" s="33"/>
    </row>
    <row r="42" spans="1:13" x14ac:dyDescent="0.4">
      <c r="A42" s="3">
        <v>1968</v>
      </c>
      <c r="B42" s="2">
        <v>4.71976413637301E-2</v>
      </c>
      <c r="C42" s="2">
        <v>0.11081421107240599</v>
      </c>
      <c r="D42" s="2">
        <v>0.141415239945543</v>
      </c>
      <c r="E42" s="2">
        <v>5.2057936325074203E-2</v>
      </c>
      <c r="F42" s="2">
        <v>4.5350158464528202E-2</v>
      </c>
      <c r="G42" s="2">
        <v>0.379404675594467</v>
      </c>
      <c r="H42" s="48">
        <f t="shared" si="0"/>
        <v>0.141415239945543</v>
      </c>
      <c r="I42" s="48">
        <f t="shared" si="1"/>
        <v>0.141415239945543</v>
      </c>
      <c r="J42" s="48">
        <f t="shared" si="3"/>
        <v>0.141415239945543</v>
      </c>
      <c r="K42" s="16">
        <f>('Inputs and Chart'!$B$9*'Advanced Returns'!C42)+(('Inputs and Chart'!$B$10*'Advanced Returns'!D42)+('Inputs and Chart'!$B$11*'Advanced Returns'!E42)+('Inputs and Chart'!$B$12*'Advanced Returns'!F42)+('Inputs and Chart'!$B$13*'Advanced Returns'!G42)+('Inputs and Chart'!$B$14*'Advanced Returns'!H42)+('Inputs and Chart'!$B$15*'Advanced Returns'!I42)+('Inputs and Chart'!$B$16*'Advanced Returns'!J42)-'Inputs and Chart'!$B$6)</f>
        <v>0.11399672441139179</v>
      </c>
      <c r="M42" s="33"/>
    </row>
    <row r="43" spans="1:13" x14ac:dyDescent="0.4">
      <c r="A43" s="3">
        <v>1969</v>
      </c>
      <c r="B43" s="2">
        <v>6.19718307390991E-2</v>
      </c>
      <c r="C43" s="2">
        <v>-8.48615153403149E-2</v>
      </c>
      <c r="D43" s="2">
        <v>-0.10913634292996501</v>
      </c>
      <c r="E43" s="2">
        <v>6.5838071840856396E-2</v>
      </c>
      <c r="F43" s="2">
        <v>-7.3664709554374097E-3</v>
      </c>
      <c r="G43" s="2">
        <v>-0.25788265366417201</v>
      </c>
      <c r="H43" s="48">
        <f t="shared" si="0"/>
        <v>-0.10913634292996501</v>
      </c>
      <c r="I43" s="48">
        <f t="shared" si="1"/>
        <v>-0.10913634292996501</v>
      </c>
      <c r="J43" s="48">
        <f t="shared" si="3"/>
        <v>-0.10913634292996501</v>
      </c>
      <c r="K43" s="16">
        <f>('Inputs and Chart'!$B$9*'Advanced Returns'!C43)+(('Inputs and Chart'!$B$10*'Advanced Returns'!D43)+('Inputs and Chart'!$B$11*'Advanced Returns'!E43)+('Inputs and Chart'!$B$12*'Advanced Returns'!F43)+('Inputs and Chart'!$B$13*'Advanced Returns'!G43)+('Inputs and Chart'!$B$14*'Advanced Returns'!H43)+('Inputs and Chart'!$B$15*'Advanced Returns'!I43)+('Inputs and Chart'!$B$16*'Advanced Returns'!J43)-'Inputs and Chart'!$B$6)</f>
        <v>-9.5111326657099995E-2</v>
      </c>
      <c r="M43" s="33"/>
    </row>
    <row r="44" spans="1:13" x14ac:dyDescent="0.4">
      <c r="A44" s="3">
        <v>1970</v>
      </c>
      <c r="B44" s="2">
        <v>5.5702917489097697E-2</v>
      </c>
      <c r="C44" s="2">
        <v>4.0260146272458101E-2</v>
      </c>
      <c r="D44" s="2">
        <v>2.3080887293858198E-5</v>
      </c>
      <c r="E44" s="2">
        <v>6.5249705036203101E-2</v>
      </c>
      <c r="F44" s="2">
        <v>0.16858845416212001</v>
      </c>
      <c r="G44" s="2">
        <v>-0.122118950422231</v>
      </c>
      <c r="H44" s="48">
        <f t="shared" si="0"/>
        <v>2.3080887293858198E-5</v>
      </c>
      <c r="I44" s="48">
        <f t="shared" si="1"/>
        <v>2.3080887293858198E-5</v>
      </c>
      <c r="J44" s="48">
        <f t="shared" si="3"/>
        <v>2.3080887293858198E-5</v>
      </c>
      <c r="K44" s="16">
        <f>('Inputs and Chart'!$B$9*'Advanced Returns'!C44)+(('Inputs and Chart'!$B$10*'Advanced Returns'!D44)+('Inputs and Chart'!$B$11*'Advanced Returns'!E44)+('Inputs and Chart'!$B$12*'Advanced Returns'!F44)+('Inputs and Chart'!$B$13*'Advanced Returns'!G44)+('Inputs and Chart'!$B$14*'Advanced Returns'!H44)+('Inputs and Chart'!$B$15*'Advanced Returns'!I44)+('Inputs and Chart'!$B$16*'Advanced Returns'!J44)-'Inputs and Chart'!$B$6)</f>
        <v>2.672015789455295E-2</v>
      </c>
      <c r="M44" s="33"/>
    </row>
    <row r="45" spans="1:13" x14ac:dyDescent="0.4">
      <c r="A45" s="3">
        <v>1971</v>
      </c>
      <c r="B45" s="2">
        <v>3.2663316610456197E-2</v>
      </c>
      <c r="C45" s="2">
        <v>0.143179458097906</v>
      </c>
      <c r="D45" s="2">
        <v>0.161458204932623</v>
      </c>
      <c r="E45" s="2">
        <v>4.3861280637072599E-2</v>
      </c>
      <c r="F45" s="2">
        <v>8.7207047164740398E-2</v>
      </c>
      <c r="G45" s="2">
        <v>0.19480758885727401</v>
      </c>
      <c r="H45" s="48">
        <f t="shared" si="0"/>
        <v>0.161458204932623</v>
      </c>
      <c r="I45" s="48">
        <f t="shared" si="1"/>
        <v>0.161458204932623</v>
      </c>
      <c r="J45" s="48">
        <f t="shared" si="3"/>
        <v>0.161458204932623</v>
      </c>
      <c r="K45" s="16">
        <f>('Inputs and Chart'!$B$9*'Advanced Returns'!C45)+(('Inputs and Chart'!$B$10*'Advanced Returns'!D45)+('Inputs and Chart'!$B$11*'Advanced Returns'!E45)+('Inputs and Chart'!$B$12*'Advanced Returns'!F45)+('Inputs and Chart'!$B$13*'Advanced Returns'!G45)+('Inputs and Chart'!$B$14*'Advanced Returns'!H45)+('Inputs and Chart'!$B$15*'Advanced Returns'!I45)+('Inputs and Chart'!$B$16*'Advanced Returns'!J45)-'Inputs and Chart'!$B$6)</f>
        <v>0.12684645045333817</v>
      </c>
      <c r="M45" s="33"/>
    </row>
    <row r="46" spans="1:13" x14ac:dyDescent="0.4">
      <c r="A46" s="3">
        <v>1972</v>
      </c>
      <c r="B46" s="2">
        <v>3.4063261290109698E-2</v>
      </c>
      <c r="C46" s="2">
        <v>0.18975913562622199</v>
      </c>
      <c r="D46" s="2">
        <v>0.168371784419832</v>
      </c>
      <c r="E46" s="2">
        <v>3.8399526305936897E-2</v>
      </c>
      <c r="F46" s="2">
        <v>5.15956397655866E-2</v>
      </c>
      <c r="G46" s="2">
        <v>3.2594739984563602E-2</v>
      </c>
      <c r="H46" s="48">
        <f t="shared" si="0"/>
        <v>0.168371784419832</v>
      </c>
      <c r="I46" s="48">
        <f t="shared" si="1"/>
        <v>0.168371784419832</v>
      </c>
      <c r="J46" s="48">
        <f t="shared" si="3"/>
        <v>0.168371784419832</v>
      </c>
      <c r="K46" s="16">
        <f>('Inputs and Chart'!$B$9*'Advanced Returns'!C46)+(('Inputs and Chart'!$B$10*'Advanced Returns'!D46)+('Inputs and Chart'!$B$11*'Advanced Returns'!E46)+('Inputs and Chart'!$B$12*'Advanced Returns'!F46)+('Inputs and Chart'!$B$13*'Advanced Returns'!G46)+('Inputs and Chart'!$B$14*'Advanced Returns'!H46)+('Inputs and Chart'!$B$15*'Advanced Returns'!I46)+('Inputs and Chart'!$B$16*'Advanced Returns'!J46)-'Inputs and Chart'!$B$6)</f>
        <v>0.11322497561107968</v>
      </c>
      <c r="M46" s="33"/>
    </row>
    <row r="47" spans="1:13" x14ac:dyDescent="0.4">
      <c r="A47" s="3">
        <v>1973</v>
      </c>
      <c r="B47" s="2">
        <v>8.7058823411172395E-2</v>
      </c>
      <c r="C47" s="2">
        <v>-0.146659442289406</v>
      </c>
      <c r="D47" s="2">
        <v>-0.18064487899064999</v>
      </c>
      <c r="E47" s="2">
        <v>6.9303142605702001E-2</v>
      </c>
      <c r="F47" s="2">
        <v>3.6055647992422099E-2</v>
      </c>
      <c r="G47" s="2">
        <v>-0.36469126642258798</v>
      </c>
      <c r="H47" s="48">
        <f t="shared" si="0"/>
        <v>-0.18064487899064999</v>
      </c>
      <c r="I47" s="48">
        <f t="shared" si="1"/>
        <v>-0.18064487899064999</v>
      </c>
      <c r="J47" s="48">
        <f t="shared" si="3"/>
        <v>-0.18064487899064999</v>
      </c>
      <c r="K47" s="16">
        <f>('Inputs and Chart'!$B$9*'Advanced Returns'!C47)+(('Inputs and Chart'!$B$10*'Advanced Returns'!D47)+('Inputs and Chart'!$B$11*'Advanced Returns'!E47)+('Inputs and Chart'!$B$12*'Advanced Returns'!F47)+('Inputs and Chart'!$B$13*'Advanced Returns'!G47)+('Inputs and Chart'!$B$14*'Advanced Returns'!H47)+('Inputs and Chart'!$B$15*'Advanced Returns'!I47)+('Inputs and Chart'!$B$16*'Advanced Returns'!J47)-'Inputs and Chart'!$B$6)</f>
        <v>-0.13607649283507775</v>
      </c>
      <c r="M47" s="33"/>
    </row>
    <row r="48" spans="1:13" x14ac:dyDescent="0.4">
      <c r="A48" s="3">
        <v>1974</v>
      </c>
      <c r="B48" s="2">
        <v>0.123376622489003</v>
      </c>
      <c r="C48" s="2">
        <v>-0.264582756753376</v>
      </c>
      <c r="D48" s="2">
        <v>-0.27037303840341098</v>
      </c>
      <c r="E48" s="2">
        <v>8.00305884202763E-2</v>
      </c>
      <c r="F48" s="2">
        <v>7.1876376196334996E-2</v>
      </c>
      <c r="G48" s="2">
        <v>-0.26134018698480699</v>
      </c>
      <c r="H48" s="48">
        <f t="shared" si="0"/>
        <v>-0.27037303840341098</v>
      </c>
      <c r="I48" s="48">
        <f t="shared" si="1"/>
        <v>-0.27037303840341098</v>
      </c>
      <c r="J48" s="48">
        <f t="shared" si="3"/>
        <v>-0.27037303840341098</v>
      </c>
      <c r="K48" s="16">
        <f>('Inputs and Chart'!$B$9*'Advanced Returns'!C48)+(('Inputs and Chart'!$B$10*'Advanced Returns'!D48)+('Inputs and Chart'!$B$11*'Advanced Returns'!E48)+('Inputs and Chart'!$B$12*'Advanced Returns'!F48)+('Inputs and Chart'!$B$13*'Advanced Returns'!G48)+('Inputs and Chart'!$B$14*'Advanced Returns'!H48)+('Inputs and Chart'!$B$15*'Advanced Returns'!I48)+('Inputs and Chart'!$B$16*'Advanced Returns'!J48)-'Inputs and Chart'!$B$6)</f>
        <v>-0.17879459986940879</v>
      </c>
      <c r="M48" s="33"/>
    </row>
    <row r="49" spans="1:13" x14ac:dyDescent="0.4">
      <c r="A49" s="3">
        <v>1975</v>
      </c>
      <c r="B49" s="2">
        <v>6.9364161685034897E-2</v>
      </c>
      <c r="C49" s="2">
        <v>0.37211960760346002</v>
      </c>
      <c r="D49" s="2">
        <v>0.38753363932600299</v>
      </c>
      <c r="E49" s="2">
        <v>5.8035946680252699E-2</v>
      </c>
      <c r="F49" s="2">
        <v>8.0335767652891299E-2</v>
      </c>
      <c r="G49" s="2">
        <v>0.63921033959135598</v>
      </c>
      <c r="H49" s="2">
        <v>0.362708167506054</v>
      </c>
      <c r="I49" s="48">
        <f t="shared" si="1"/>
        <v>0.38753363932600299</v>
      </c>
      <c r="J49" s="48">
        <f t="shared" si="3"/>
        <v>0.38753363932600299</v>
      </c>
      <c r="K49" s="16">
        <f>('Inputs and Chart'!$B$9*'Advanced Returns'!C49)+(('Inputs and Chart'!$B$10*'Advanced Returns'!D49)+('Inputs and Chart'!$B$11*'Advanced Returns'!E49)+('Inputs and Chart'!$B$12*'Advanced Returns'!F49)+('Inputs and Chart'!$B$13*'Advanced Returns'!G49)+('Inputs and Chart'!$B$14*'Advanced Returns'!H49)+('Inputs and Chart'!$B$15*'Advanced Returns'!I49)+('Inputs and Chart'!$B$16*'Advanced Returns'!J49)-'Inputs and Chart'!$B$6)</f>
        <v>0.29205461118517367</v>
      </c>
      <c r="M49" s="33"/>
    </row>
    <row r="50" spans="1:13" x14ac:dyDescent="0.4">
      <c r="A50" s="3">
        <v>1976</v>
      </c>
      <c r="B50" s="2">
        <v>4.8648650022182098E-2</v>
      </c>
      <c r="C50" s="2">
        <v>0.23848937114642199</v>
      </c>
      <c r="D50" s="2">
        <v>0.26761223222616798</v>
      </c>
      <c r="E50" s="2">
        <v>5.0825160334971399E-2</v>
      </c>
      <c r="F50" s="2">
        <v>0.113990352312172</v>
      </c>
      <c r="G50" s="2">
        <v>0.51466206652277402</v>
      </c>
      <c r="H50" s="2">
        <v>4.1743069459420697E-2</v>
      </c>
      <c r="I50" s="48">
        <f t="shared" si="1"/>
        <v>0.26761223222616798</v>
      </c>
      <c r="J50" s="48">
        <f t="shared" si="3"/>
        <v>0.26761223222616798</v>
      </c>
      <c r="K50" s="16">
        <f>('Inputs and Chart'!$B$9*'Advanced Returns'!C50)+(('Inputs and Chart'!$B$10*'Advanced Returns'!D50)+('Inputs and Chart'!$B$11*'Advanced Returns'!E50)+('Inputs and Chart'!$B$12*'Advanced Returns'!F50)+('Inputs and Chart'!$B$13*'Advanced Returns'!G50)+('Inputs and Chart'!$B$14*'Advanced Returns'!H50)+('Inputs and Chart'!$B$15*'Advanced Returns'!I50)+('Inputs and Chart'!$B$16*'Advanced Returns'!J50)-'Inputs and Chart'!$B$6)</f>
        <v>0.18333964018777979</v>
      </c>
      <c r="M50" s="33"/>
    </row>
    <row r="51" spans="1:13" x14ac:dyDescent="0.4">
      <c r="A51" s="3">
        <v>1977</v>
      </c>
      <c r="B51" s="2">
        <v>6.7010309449677397E-2</v>
      </c>
      <c r="C51" s="2">
        <v>-7.1793012884497701E-2</v>
      </c>
      <c r="D51" s="2">
        <v>-4.25961120408163E-2</v>
      </c>
      <c r="E51" s="2">
        <v>5.1202114896226697E-2</v>
      </c>
      <c r="F51" s="2">
        <v>2.9091065719261799E-2</v>
      </c>
      <c r="G51" s="2">
        <v>0.18383978121170599</v>
      </c>
      <c r="H51" s="2">
        <v>0.18202179317176201</v>
      </c>
      <c r="I51" s="48">
        <f t="shared" si="1"/>
        <v>-4.25961120408163E-2</v>
      </c>
      <c r="J51" s="48">
        <f t="shared" si="3"/>
        <v>-4.25961120408163E-2</v>
      </c>
      <c r="K51" s="16">
        <f>('Inputs and Chart'!$B$9*'Advanced Returns'!C51)+(('Inputs and Chart'!$B$10*'Advanced Returns'!D51)+('Inputs and Chart'!$B$11*'Advanced Returns'!E51)+('Inputs and Chart'!$B$12*'Advanced Returns'!F51)+('Inputs and Chart'!$B$13*'Advanced Returns'!G51)+('Inputs and Chart'!$B$14*'Advanced Returns'!H51)+('Inputs and Chart'!$B$15*'Advanced Returns'!I51)+('Inputs and Chart'!$B$16*'Advanced Returns'!J51)-'Inputs and Chart'!$B$6)</f>
        <v>1.6835024930056539E-2</v>
      </c>
      <c r="M51" s="33"/>
    </row>
    <row r="52" spans="1:13" x14ac:dyDescent="0.4">
      <c r="A52" s="3">
        <v>1978</v>
      </c>
      <c r="B52" s="2">
        <v>9.0177134263450295E-2</v>
      </c>
      <c r="C52" s="2">
        <v>6.5739594783827293E-2</v>
      </c>
      <c r="D52" s="2">
        <v>7.4865063121758002E-2</v>
      </c>
      <c r="E52" s="2">
        <v>7.1808232687199602E-2</v>
      </c>
      <c r="F52" s="2">
        <v>2.44035305363004E-2</v>
      </c>
      <c r="G52" s="2">
        <v>0.18333430614186799</v>
      </c>
      <c r="H52" s="2">
        <v>0.329294343730334</v>
      </c>
      <c r="I52" s="2">
        <v>0.109799999995222</v>
      </c>
      <c r="J52" s="48">
        <f t="shared" si="3"/>
        <v>7.4865063121758002E-2</v>
      </c>
      <c r="K52" s="16">
        <f>('Inputs and Chart'!$B$9*'Advanced Returns'!C52)+(('Inputs and Chart'!$B$10*'Advanced Returns'!D52)+('Inputs and Chart'!$B$11*'Advanced Returns'!E52)+('Inputs and Chart'!$B$12*'Advanced Returns'!F52)+('Inputs and Chart'!$B$13*'Advanced Returns'!G52)+('Inputs and Chart'!$B$14*'Advanced Returns'!H52)+('Inputs and Chart'!$B$15*'Advanced Returns'!I52)+('Inputs and Chart'!$B$16*'Advanced Returns'!J52)-'Inputs and Chart'!$B$6)</f>
        <v>0.10076283704140543</v>
      </c>
      <c r="M52" s="33"/>
    </row>
    <row r="53" spans="1:13" x14ac:dyDescent="0.4">
      <c r="A53" s="3">
        <v>1979</v>
      </c>
      <c r="B53" s="2">
        <v>0.13293943662374499</v>
      </c>
      <c r="C53" s="2">
        <v>0.184239764922035</v>
      </c>
      <c r="D53" s="2">
        <v>0.22624287872784701</v>
      </c>
      <c r="E53" s="2">
        <v>0.103762301903503</v>
      </c>
      <c r="F53" s="2">
        <v>6.9171435875953202E-2</v>
      </c>
      <c r="G53" s="2">
        <v>0.45590710697359299</v>
      </c>
      <c r="H53" s="2">
        <v>9.5787477802333307E-2</v>
      </c>
      <c r="I53" s="2">
        <v>0.48990809141713298</v>
      </c>
      <c r="J53" s="48">
        <f t="shared" si="3"/>
        <v>0.22624287872784701</v>
      </c>
      <c r="K53" s="16">
        <f>('Inputs and Chart'!$B$9*'Advanced Returns'!C53)+(('Inputs and Chart'!$B$10*'Advanced Returns'!D53)+('Inputs and Chart'!$B$11*'Advanced Returns'!E53)+('Inputs and Chart'!$B$12*'Advanced Returns'!F53)+('Inputs and Chart'!$B$13*'Advanced Returns'!G53)+('Inputs and Chart'!$B$14*'Advanced Returns'!H53)+('Inputs and Chart'!$B$15*'Advanced Returns'!I53)+('Inputs and Chart'!$B$16*'Advanced Returns'!J53)-'Inputs and Chart'!$B$6)</f>
        <v>0.18669230162334319</v>
      </c>
      <c r="M53" s="33"/>
    </row>
    <row r="54" spans="1:13" x14ac:dyDescent="0.4">
      <c r="A54" s="3">
        <v>1980</v>
      </c>
      <c r="B54" s="2">
        <v>0.12516297164818499</v>
      </c>
      <c r="C54" s="2">
        <v>0.324076851501436</v>
      </c>
      <c r="D54" s="2">
        <v>0.32814336279817702</v>
      </c>
      <c r="E54" s="2">
        <v>0.112355116955396</v>
      </c>
      <c r="F54" s="2">
        <v>7.1040751953004105E-2</v>
      </c>
      <c r="G54" s="2">
        <v>0.33459123265464802</v>
      </c>
      <c r="H54" s="2">
        <v>0.235444407628881</v>
      </c>
      <c r="I54" s="2">
        <v>0.331176292645457</v>
      </c>
      <c r="J54" s="48">
        <f t="shared" si="3"/>
        <v>0.32814336279817702</v>
      </c>
      <c r="K54" s="16">
        <f>('Inputs and Chart'!$B$9*'Advanced Returns'!C54)+(('Inputs and Chart'!$B$10*'Advanced Returns'!D54)+('Inputs and Chart'!$B$11*'Advanced Returns'!E54)+('Inputs and Chart'!$B$12*'Advanced Returns'!F54)+('Inputs and Chart'!$B$13*'Advanced Returns'!G54)+('Inputs and Chart'!$B$14*'Advanced Returns'!H54)+('Inputs and Chart'!$B$15*'Advanced Returns'!I54)+('Inputs and Chart'!$B$16*'Advanced Returns'!J54)-'Inputs and Chart'!$B$6)</f>
        <v>0.22671834809716701</v>
      </c>
      <c r="M54" s="33"/>
    </row>
    <row r="55" spans="1:13" x14ac:dyDescent="0.4">
      <c r="A55" s="3">
        <v>1981</v>
      </c>
      <c r="B55" s="2">
        <v>8.9223640082521899E-2</v>
      </c>
      <c r="C55" s="2">
        <v>-4.9088144783707002E-2</v>
      </c>
      <c r="D55" s="2">
        <v>-3.64839543669018E-2</v>
      </c>
      <c r="E55" s="2">
        <v>0.14708862596681699</v>
      </c>
      <c r="F55" s="2">
        <v>0.10925033324918999</v>
      </c>
      <c r="G55" s="2">
        <v>4.2229363909249203E-2</v>
      </c>
      <c r="H55" s="2">
        <v>-1.68242759977285E-2</v>
      </c>
      <c r="I55" s="2">
        <v>0.178819681192536</v>
      </c>
      <c r="J55" s="48">
        <f t="shared" si="3"/>
        <v>-3.64839543669018E-2</v>
      </c>
      <c r="K55" s="16">
        <f>('Inputs and Chart'!$B$9*'Advanced Returns'!C55)+(('Inputs and Chart'!$B$10*'Advanced Returns'!D55)+('Inputs and Chart'!$B$11*'Advanced Returns'!E55)+('Inputs and Chart'!$B$12*'Advanced Returns'!F55)+('Inputs and Chart'!$B$13*'Advanced Returns'!G55)+('Inputs and Chart'!$B$14*'Advanced Returns'!H55)+('Inputs and Chart'!$B$15*'Advanced Returns'!I55)+('Inputs and Chart'!$B$16*'Advanced Returns'!J55)-'Inputs and Chart'!$B$6)</f>
        <v>2.6164839178917636E-2</v>
      </c>
      <c r="M55" s="33"/>
    </row>
    <row r="56" spans="1:13" x14ac:dyDescent="0.4">
      <c r="A56" s="3">
        <v>1982</v>
      </c>
      <c r="B56" s="2">
        <v>3.8297870957339997E-2</v>
      </c>
      <c r="C56" s="2">
        <v>0.214094274938087</v>
      </c>
      <c r="D56" s="2">
        <v>0.210005550880346</v>
      </c>
      <c r="E56" s="2">
        <v>0.10543085486541599</v>
      </c>
      <c r="F56" s="2">
        <v>0.24986539413445599</v>
      </c>
      <c r="G56" s="2">
        <v>0.28839973465723101</v>
      </c>
      <c r="H56" s="2">
        <v>-2.4926589661898601E-2</v>
      </c>
      <c r="I56" s="2">
        <v>0.20911858802269501</v>
      </c>
      <c r="J56" s="48">
        <f t="shared" si="3"/>
        <v>0.210005550880346</v>
      </c>
      <c r="K56" s="16">
        <f>('Inputs and Chart'!$B$9*'Advanced Returns'!C56)+(('Inputs and Chart'!$B$10*'Advanced Returns'!D56)+('Inputs and Chart'!$B$11*'Advanced Returns'!E56)+('Inputs and Chart'!$B$12*'Advanced Returns'!F56)+('Inputs and Chart'!$B$13*'Advanced Returns'!G56)+('Inputs and Chart'!$B$14*'Advanced Returns'!H56)+('Inputs and Chart'!$B$15*'Advanced Returns'!I56)+('Inputs and Chart'!$B$16*'Advanced Returns'!J56)-'Inputs and Chart'!$B$6)</f>
        <v>0.16889791452886926</v>
      </c>
      <c r="M56" s="33"/>
    </row>
    <row r="57" spans="1:13" x14ac:dyDescent="0.4">
      <c r="A57" s="3">
        <v>1983</v>
      </c>
      <c r="B57" s="2">
        <v>3.7909836648705397E-2</v>
      </c>
      <c r="C57" s="2">
        <v>0.22513813591118101</v>
      </c>
      <c r="D57" s="2">
        <v>0.21975445260350199</v>
      </c>
      <c r="E57" s="2">
        <v>8.7983222630542798E-2</v>
      </c>
      <c r="F57" s="2">
        <v>8.0587430390043402E-2</v>
      </c>
      <c r="G57" s="2">
        <v>0.29947915559149801</v>
      </c>
      <c r="H57" s="2">
        <v>0.23624838832351</v>
      </c>
      <c r="I57" s="2">
        <v>0.321709750509652</v>
      </c>
      <c r="J57" s="48">
        <f t="shared" si="3"/>
        <v>0.21975445260350199</v>
      </c>
      <c r="K57" s="16">
        <f>('Inputs and Chart'!$B$9*'Advanced Returns'!C57)+(('Inputs and Chart'!$B$10*'Advanced Returns'!D57)+('Inputs and Chart'!$B$11*'Advanced Returns'!E57)+('Inputs and Chart'!$B$12*'Advanced Returns'!F57)+('Inputs and Chart'!$B$13*'Advanced Returns'!G57)+('Inputs and Chart'!$B$14*'Advanced Returns'!H57)+('Inputs and Chart'!$B$15*'Advanced Returns'!I57)+('Inputs and Chart'!$B$16*'Advanced Returns'!J57)-'Inputs and Chart'!$B$6)</f>
        <v>0.18361856912278665</v>
      </c>
      <c r="M57" s="33"/>
    </row>
    <row r="58" spans="1:13" x14ac:dyDescent="0.4">
      <c r="A58" s="3">
        <v>1984</v>
      </c>
      <c r="B58" s="2">
        <v>3.9486672625571401E-2</v>
      </c>
      <c r="C58" s="2">
        <v>6.2663224413356006E-2</v>
      </c>
      <c r="D58" s="2">
        <v>4.5110283772245199E-2</v>
      </c>
      <c r="E58" s="2">
        <v>9.8493873370489204E-2</v>
      </c>
      <c r="F58" s="2">
        <v>0.142488779398523</v>
      </c>
      <c r="G58" s="2">
        <v>-5.5628020843554199E-2</v>
      </c>
      <c r="H58" s="2">
        <v>6.3725869128716597E-2</v>
      </c>
      <c r="I58" s="2">
        <v>0.21885400088236301</v>
      </c>
      <c r="J58" s="48">
        <f t="shared" si="3"/>
        <v>4.5110283772245199E-2</v>
      </c>
      <c r="K58" s="16">
        <f>('Inputs and Chart'!$B$9*'Advanced Returns'!C58)+(('Inputs and Chart'!$B$10*'Advanced Returns'!D58)+('Inputs and Chart'!$B$11*'Advanced Returns'!E58)+('Inputs and Chart'!$B$12*'Advanced Returns'!F58)+('Inputs and Chart'!$B$13*'Advanced Returns'!G58)+('Inputs and Chart'!$B$14*'Advanced Returns'!H58)+('Inputs and Chart'!$B$15*'Advanced Returns'!I58)+('Inputs and Chart'!$B$16*'Advanced Returns'!J58)-'Inputs and Chart'!$B$6)</f>
        <v>7.4983650774079619E-2</v>
      </c>
      <c r="M58" s="33"/>
    </row>
    <row r="59" spans="1:13" x14ac:dyDescent="0.4">
      <c r="A59" s="3">
        <v>1985</v>
      </c>
      <c r="B59" s="2">
        <v>3.7986705063250498E-2</v>
      </c>
      <c r="C59" s="2">
        <v>0.321706866518365</v>
      </c>
      <c r="D59" s="2">
        <v>0.321681998492923</v>
      </c>
      <c r="E59" s="2">
        <v>7.7232951962813601E-2</v>
      </c>
      <c r="F59" s="2">
        <v>0.17808578819936899</v>
      </c>
      <c r="G59" s="2">
        <v>0.31342080296070002</v>
      </c>
      <c r="H59" s="2">
        <v>0.52830924446249405</v>
      </c>
      <c r="I59" s="2">
        <v>6.4996735355294002E-2</v>
      </c>
      <c r="J59" s="48">
        <f t="shared" si="3"/>
        <v>0.321681998492923</v>
      </c>
      <c r="K59" s="16">
        <f>('Inputs and Chart'!$B$9*'Advanced Returns'!C59)+(('Inputs and Chart'!$B$10*'Advanced Returns'!D59)+('Inputs and Chart'!$B$11*'Advanced Returns'!E59)+('Inputs and Chart'!$B$12*'Advanced Returns'!F59)+('Inputs and Chart'!$B$13*'Advanced Returns'!G59)+('Inputs and Chart'!$B$14*'Advanced Returns'!H59)+('Inputs and Chart'!$B$15*'Advanced Returns'!I59)+('Inputs and Chart'!$B$16*'Advanced Returns'!J59)-'Inputs and Chart'!$B$6)</f>
        <v>0.26891204149161757</v>
      </c>
      <c r="M59" s="33"/>
    </row>
    <row r="60" spans="1:13" x14ac:dyDescent="0.4">
      <c r="A60" s="3">
        <v>1986</v>
      </c>
      <c r="B60" s="2">
        <v>1.09789573413721E-2</v>
      </c>
      <c r="C60" s="2">
        <v>0.184705266701603</v>
      </c>
      <c r="D60" s="2">
        <v>0.16190492119984301</v>
      </c>
      <c r="E60" s="2">
        <v>6.1624343097007601E-2</v>
      </c>
      <c r="F60" s="2">
        <v>0.130460784252076</v>
      </c>
      <c r="G60" s="2">
        <v>7.1004557275009303E-2</v>
      </c>
      <c r="H60" s="2">
        <v>0.66892765264188203</v>
      </c>
      <c r="I60" s="2">
        <v>0.19745104617458101</v>
      </c>
      <c r="J60" s="48">
        <f t="shared" si="3"/>
        <v>0.16190492119984301</v>
      </c>
      <c r="K60" s="16">
        <f>('Inputs and Chart'!$B$9*'Advanced Returns'!C60)+(('Inputs and Chart'!$B$10*'Advanced Returns'!D60)+('Inputs and Chart'!$B$11*'Advanced Returns'!E60)+('Inputs and Chart'!$B$12*'Advanced Returns'!F60)+('Inputs and Chart'!$B$13*'Advanced Returns'!G60)+('Inputs and Chart'!$B$14*'Advanced Returns'!H60)+('Inputs and Chart'!$B$15*'Advanced Returns'!I60)+('Inputs and Chart'!$B$16*'Advanced Returns'!J60)-'Inputs and Chart'!$B$6)</f>
        <v>0.21773172306937022</v>
      </c>
      <c r="M60" s="33"/>
    </row>
    <row r="61" spans="1:13" x14ac:dyDescent="0.4">
      <c r="A61" s="3">
        <v>1987</v>
      </c>
      <c r="B61" s="2">
        <v>4.4343892722268803E-2</v>
      </c>
      <c r="C61" s="2">
        <v>5.2307580074880899E-2</v>
      </c>
      <c r="D61" s="2">
        <v>1.67012168271128E-2</v>
      </c>
      <c r="E61" s="2">
        <v>5.4655956665047099E-2</v>
      </c>
      <c r="F61" s="2">
        <v>3.5981898957181797E-2</v>
      </c>
      <c r="G61" s="2">
        <v>-9.0986213499362603E-2</v>
      </c>
      <c r="H61" s="2">
        <v>0.25425724235292602</v>
      </c>
      <c r="I61" s="2">
        <v>-6.5938498802454601E-2</v>
      </c>
      <c r="J61" s="48">
        <f t="shared" si="3"/>
        <v>1.67012168271128E-2</v>
      </c>
      <c r="K61" s="16">
        <f>('Inputs and Chart'!$B$9*'Advanced Returns'!C61)+(('Inputs and Chart'!$B$10*'Advanced Returns'!D61)+('Inputs and Chart'!$B$11*'Advanced Returns'!E61)+('Inputs and Chart'!$B$12*'Advanced Returns'!F61)+('Inputs and Chart'!$B$13*'Advanced Returns'!G61)+('Inputs and Chart'!$B$14*'Advanced Returns'!H61)+('Inputs and Chart'!$B$15*'Advanced Returns'!I61)+('Inputs and Chart'!$B$16*'Advanced Returns'!J61)-'Inputs and Chart'!$B$6)</f>
        <v>3.5727188998828277E-2</v>
      </c>
      <c r="M61" s="33"/>
    </row>
    <row r="62" spans="1:13" x14ac:dyDescent="0.4">
      <c r="A62" s="3">
        <v>1988</v>
      </c>
      <c r="B62" s="2">
        <v>4.4194107121963797E-2</v>
      </c>
      <c r="C62" s="2">
        <v>0.16809292638982201</v>
      </c>
      <c r="D62" s="2">
        <v>0.18027911967169999</v>
      </c>
      <c r="E62" s="2">
        <v>6.3478061416108594E-2</v>
      </c>
      <c r="F62" s="2">
        <v>6.2698694905978E-2</v>
      </c>
      <c r="G62" s="2">
        <v>0.239108684907263</v>
      </c>
      <c r="H62" s="2">
        <v>0.246883039850923</v>
      </c>
      <c r="I62" s="2">
        <v>0.174822271042127</v>
      </c>
      <c r="J62" s="48">
        <f t="shared" si="3"/>
        <v>0.18027911967169999</v>
      </c>
      <c r="K62" s="16">
        <f>('Inputs and Chart'!$B$9*'Advanced Returns'!C62)+(('Inputs and Chart'!$B$10*'Advanced Returns'!D62)+('Inputs and Chart'!$B$11*'Advanced Returns'!E62)+('Inputs and Chart'!$B$12*'Advanced Returns'!F62)+('Inputs and Chart'!$B$13*'Advanced Returns'!G62)+('Inputs and Chart'!$B$14*'Advanced Returns'!H62)+('Inputs and Chart'!$B$15*'Advanced Returns'!I62)+('Inputs and Chart'!$B$16*'Advanced Returns'!J62)-'Inputs and Chart'!$B$6)</f>
        <v>0.14651785390499916</v>
      </c>
      <c r="M62" s="33"/>
    </row>
    <row r="63" spans="1:13" x14ac:dyDescent="0.4">
      <c r="A63" s="3">
        <v>1989</v>
      </c>
      <c r="B63" s="2">
        <v>4.6473028146599302E-2</v>
      </c>
      <c r="C63" s="2">
        <v>0.314908447912292</v>
      </c>
      <c r="D63" s="2">
        <v>0.28863511170143002</v>
      </c>
      <c r="E63" s="2">
        <v>8.3704261575445804E-2</v>
      </c>
      <c r="F63" s="2">
        <v>0.12685872669888401</v>
      </c>
      <c r="G63" s="2">
        <v>0.16092585670205301</v>
      </c>
      <c r="H63" s="2">
        <v>0.112095572510407</v>
      </c>
      <c r="I63" s="2">
        <v>2.7160005152345099E-2</v>
      </c>
      <c r="J63" s="48">
        <f t="shared" si="3"/>
        <v>0.28863511170143002</v>
      </c>
      <c r="K63" s="16">
        <f>('Inputs and Chart'!$B$9*'Advanced Returns'!C63)+(('Inputs and Chart'!$B$10*'Advanced Returns'!D63)+('Inputs and Chart'!$B$11*'Advanced Returns'!E63)+('Inputs and Chart'!$B$12*'Advanced Returns'!F63)+('Inputs and Chart'!$B$13*'Advanced Returns'!G63)+('Inputs and Chart'!$B$14*'Advanced Returns'!H63)+('Inputs and Chart'!$B$15*'Advanced Returns'!I63)+('Inputs and Chart'!$B$16*'Advanced Returns'!J63)-'Inputs and Chart'!$B$6)</f>
        <v>0.16418631884117429</v>
      </c>
      <c r="M63" s="33"/>
    </row>
    <row r="64" spans="1:13" x14ac:dyDescent="0.4">
      <c r="A64" s="3">
        <v>1990</v>
      </c>
      <c r="B64" s="2">
        <v>6.1062650165860002E-2</v>
      </c>
      <c r="C64" s="2">
        <v>-3.1037591263843499E-2</v>
      </c>
      <c r="D64" s="2">
        <v>-5.95848076704465E-2</v>
      </c>
      <c r="E64" s="2">
        <v>7.8134698216319104E-2</v>
      </c>
      <c r="F64" s="2">
        <v>9.4512473286660195E-2</v>
      </c>
      <c r="G64" s="2">
        <v>-0.20228559191127399</v>
      </c>
      <c r="H64" s="2">
        <v>-0.219696434321033</v>
      </c>
      <c r="I64" s="2">
        <v>-0.23442532686415099</v>
      </c>
      <c r="J64" s="2">
        <v>-5.4299986991213398E-2</v>
      </c>
      <c r="K64" s="16">
        <f>('Inputs and Chart'!$B$9*'Advanced Returns'!C64)+(('Inputs and Chart'!$B$10*'Advanced Returns'!D64)+('Inputs and Chart'!$B$11*'Advanced Returns'!E64)+('Inputs and Chart'!$B$12*'Advanced Returns'!F64)+('Inputs and Chart'!$B$13*'Advanced Returns'!G64)+('Inputs and Chart'!$B$14*'Advanced Returns'!H64)+('Inputs and Chart'!$B$15*'Advanced Returns'!I64)+('Inputs and Chart'!$B$16*'Advanced Returns'!J64)-'Inputs and Chart'!$B$6)</f>
        <v>-7.705041353951364E-2</v>
      </c>
      <c r="M64" s="33"/>
    </row>
    <row r="65" spans="1:13" x14ac:dyDescent="0.4">
      <c r="A65" s="3">
        <v>1991</v>
      </c>
      <c r="B65" s="2">
        <v>3.0642750812225599E-2</v>
      </c>
      <c r="C65" s="2">
        <v>0.304653911105353</v>
      </c>
      <c r="D65" s="2">
        <v>0.34666940069781899</v>
      </c>
      <c r="E65" s="2">
        <v>5.5952702820080601E-2</v>
      </c>
      <c r="F65" s="2">
        <v>0.14102987147795101</v>
      </c>
      <c r="G65" s="2">
        <v>0.488744514311581</v>
      </c>
      <c r="H65" s="2">
        <v>0.121378559288932</v>
      </c>
      <c r="I65" s="2">
        <v>0.238371779504474</v>
      </c>
      <c r="J65" s="2">
        <v>0.37216076221019601</v>
      </c>
      <c r="K65" s="16">
        <f>('Inputs and Chart'!$B$9*'Advanced Returns'!C65)+(('Inputs and Chart'!$B$10*'Advanced Returns'!D65)+('Inputs and Chart'!$B$11*'Advanced Returns'!E65)+('Inputs and Chart'!$B$12*'Advanced Returns'!F65)+('Inputs and Chart'!$B$13*'Advanced Returns'!G65)+('Inputs and Chart'!$B$14*'Advanced Returns'!H65)+('Inputs and Chart'!$B$15*'Advanced Returns'!I65)+('Inputs and Chart'!$B$16*'Advanced Returns'!J65)-'Inputs and Chart'!$B$6)</f>
        <v>0.23103210683767758</v>
      </c>
      <c r="M65" s="33"/>
    </row>
    <row r="66" spans="1:13" x14ac:dyDescent="0.4">
      <c r="A66" s="3">
        <v>1992</v>
      </c>
      <c r="B66" s="2">
        <v>2.9006525758953398E-2</v>
      </c>
      <c r="C66" s="2">
        <v>7.6247831874581007E-2</v>
      </c>
      <c r="D66" s="2">
        <v>9.7974132108277906E-2</v>
      </c>
      <c r="E66" s="2">
        <v>3.5063070312244503E-2</v>
      </c>
      <c r="F66" s="2">
        <v>6.9372112281238296E-2</v>
      </c>
      <c r="G66" s="2">
        <v>0.19520611751809699</v>
      </c>
      <c r="H66" s="2">
        <v>-0.127668947955487</v>
      </c>
      <c r="I66" s="2">
        <v>0.151342247788332</v>
      </c>
      <c r="J66" s="2">
        <v>4.0278256176127701E-2</v>
      </c>
      <c r="K66" s="16">
        <f>('Inputs and Chart'!$B$9*'Advanced Returns'!C66)+(('Inputs and Chart'!$B$10*'Advanced Returns'!D66)+('Inputs and Chart'!$B$11*'Advanced Returns'!E66)+('Inputs and Chart'!$B$12*'Advanced Returns'!F66)+('Inputs and Chart'!$B$13*'Advanced Returns'!G66)+('Inputs and Chart'!$B$14*'Advanced Returns'!H66)+('Inputs and Chart'!$B$15*'Advanced Returns'!I66)+('Inputs and Chart'!$B$16*'Advanced Returns'!J66)-'Inputs and Chart'!$B$6)</f>
        <v>4.5644639591276084E-2</v>
      </c>
      <c r="M66" s="33"/>
    </row>
    <row r="67" spans="1:13" x14ac:dyDescent="0.4">
      <c r="A67" s="3">
        <v>1993</v>
      </c>
      <c r="B67" s="2">
        <v>2.74841427157018E-2</v>
      </c>
      <c r="C67" s="2">
        <v>0.100722516124989</v>
      </c>
      <c r="D67" s="2">
        <v>0.111415475893184</v>
      </c>
      <c r="E67" s="2">
        <v>2.8969460120922299E-2</v>
      </c>
      <c r="F67" s="2">
        <v>8.2225942904207594E-2</v>
      </c>
      <c r="G67" s="2">
        <v>0.186882276151699</v>
      </c>
      <c r="H67" s="2">
        <v>0.313398245276299</v>
      </c>
      <c r="I67" s="2">
        <v>0.151372618364704</v>
      </c>
      <c r="J67" s="2">
        <v>0.89263450436524805</v>
      </c>
      <c r="K67" s="16">
        <f>('Inputs and Chart'!$B$9*'Advanced Returns'!C67)+(('Inputs and Chart'!$B$10*'Advanced Returns'!D67)+('Inputs and Chart'!$B$11*'Advanced Returns'!E67)+('Inputs and Chart'!$B$12*'Advanced Returns'!F67)+('Inputs and Chart'!$B$13*'Advanced Returns'!G67)+('Inputs and Chart'!$B$14*'Advanced Returns'!H67)+('Inputs and Chart'!$B$15*'Advanced Returns'!I67)+('Inputs and Chart'!$B$16*'Advanced Returns'!J67)-'Inputs and Chart'!$B$6)</f>
        <v>0.18510361212872453</v>
      </c>
      <c r="M67" s="33"/>
    </row>
    <row r="68" spans="1:13" x14ac:dyDescent="0.4">
      <c r="A68" s="3">
        <v>1994</v>
      </c>
      <c r="B68" s="2">
        <v>2.6748973036700301E-2</v>
      </c>
      <c r="C68" s="2">
        <v>1.32012395753931E-2</v>
      </c>
      <c r="D68" s="2">
        <v>-6.0496738731197197E-4</v>
      </c>
      <c r="E68" s="2">
        <v>3.9034341863644503E-2</v>
      </c>
      <c r="F68" s="2">
        <v>-1.7752667847886101E-2</v>
      </c>
      <c r="G68" s="2">
        <v>-2.0368016228107501E-2</v>
      </c>
      <c r="H68" s="2">
        <v>9.0970742943228294E-2</v>
      </c>
      <c r="I68" s="2">
        <v>2.6559334049363101E-2</v>
      </c>
      <c r="J68" s="2">
        <v>-0.11337542483867</v>
      </c>
      <c r="K68" s="16">
        <f>('Inputs and Chart'!$B$9*'Advanced Returns'!C68)+(('Inputs and Chart'!$B$10*'Advanced Returns'!D68)+('Inputs and Chart'!$B$11*'Advanced Returns'!E68)+('Inputs and Chart'!$B$12*'Advanced Returns'!F68)+('Inputs and Chart'!$B$13*'Advanced Returns'!G68)+('Inputs and Chart'!$B$14*'Advanced Returns'!H68)+('Inputs and Chart'!$B$15*'Advanced Returns'!I68)+('Inputs and Chart'!$B$16*'Advanced Returns'!J68)-'Inputs and Chart'!$B$6)</f>
        <v>-6.5626961405501026E-3</v>
      </c>
      <c r="M68" s="33"/>
    </row>
    <row r="69" spans="1:13" x14ac:dyDescent="0.4">
      <c r="A69" s="3">
        <v>1995</v>
      </c>
      <c r="B69" s="2">
        <v>2.5384103494005002E-2</v>
      </c>
      <c r="C69" s="2">
        <v>0.37577669663968399</v>
      </c>
      <c r="D69" s="2">
        <v>0.36793427543747997</v>
      </c>
      <c r="E69" s="2">
        <v>5.5954456817823198E-2</v>
      </c>
      <c r="F69" s="2">
        <v>0.14403031115428799</v>
      </c>
      <c r="G69" s="2">
        <v>0.30613745288199301</v>
      </c>
      <c r="H69" s="2">
        <v>0.110138130449177</v>
      </c>
      <c r="I69" s="2">
        <v>0.122372772922329</v>
      </c>
      <c r="J69" s="2">
        <v>-5.1354580142541503E-2</v>
      </c>
      <c r="K69" s="16">
        <f>('Inputs and Chart'!$B$9*'Advanced Returns'!C69)+(('Inputs and Chart'!$B$10*'Advanced Returns'!D69)+('Inputs and Chart'!$B$11*'Advanced Returns'!E69)+('Inputs and Chart'!$B$12*'Advanced Returns'!F69)+('Inputs and Chart'!$B$13*'Advanced Returns'!G69)+('Inputs and Chart'!$B$14*'Advanced Returns'!H69)+('Inputs and Chart'!$B$15*'Advanced Returns'!I69)+('Inputs and Chart'!$B$16*'Advanced Returns'!J69)-'Inputs and Chart'!$B$6)</f>
        <v>0.18445872453602119</v>
      </c>
      <c r="M69" s="33"/>
    </row>
    <row r="70" spans="1:13" x14ac:dyDescent="0.4">
      <c r="A70" s="3">
        <v>1996</v>
      </c>
      <c r="B70" s="2">
        <v>3.3224756826184101E-2</v>
      </c>
      <c r="C70" s="2">
        <v>0.229601750416008</v>
      </c>
      <c r="D70" s="2">
        <v>0.213535559764049</v>
      </c>
      <c r="E70" s="2">
        <v>5.2070753465580898E-2</v>
      </c>
      <c r="F70" s="2">
        <v>3.9910711618534003E-2</v>
      </c>
      <c r="G70" s="2">
        <v>0.184384129528227</v>
      </c>
      <c r="H70" s="2">
        <v>7.5497057292448502E-2</v>
      </c>
      <c r="I70" s="2">
        <v>0.37053231946079102</v>
      </c>
      <c r="J70" s="2">
        <v>9.3227204005251293E-2</v>
      </c>
      <c r="K70" s="16">
        <f>('Inputs and Chart'!$B$9*'Advanced Returns'!C70)+(('Inputs and Chart'!$B$10*'Advanced Returns'!D70)+('Inputs and Chart'!$B$11*'Advanced Returns'!E70)+('Inputs and Chart'!$B$12*'Advanced Returns'!F70)+('Inputs and Chart'!$B$13*'Advanced Returns'!G70)+('Inputs and Chart'!$B$14*'Advanced Returns'!H70)+('Inputs and Chart'!$B$15*'Advanced Returns'!I70)+('Inputs and Chart'!$B$16*'Advanced Returns'!J70)-'Inputs and Chart'!$B$6)</f>
        <v>0.13313093084744165</v>
      </c>
      <c r="M70" s="33"/>
    </row>
    <row r="71" spans="1:13" x14ac:dyDescent="0.4">
      <c r="A71" s="3">
        <v>1997</v>
      </c>
      <c r="B71" s="2">
        <v>1.7023960492299501E-2</v>
      </c>
      <c r="C71" s="2">
        <v>0.33363230400685001</v>
      </c>
      <c r="D71" s="2">
        <v>0.31384158139117102</v>
      </c>
      <c r="E71" s="2">
        <v>5.2555396052457203E-2</v>
      </c>
      <c r="F71" s="2">
        <v>7.69171263682569E-2</v>
      </c>
      <c r="G71" s="2">
        <v>0.26668897520538798</v>
      </c>
      <c r="H71" s="2">
        <v>3.2173567344743401E-2</v>
      </c>
      <c r="I71" s="2">
        <v>0.19655291980183401</v>
      </c>
      <c r="J71" s="2">
        <v>-0.15407260791782099</v>
      </c>
      <c r="K71" s="16">
        <f>('Inputs and Chart'!$B$9*'Advanced Returns'!C71)+(('Inputs and Chart'!$B$10*'Advanced Returns'!D71)+('Inputs and Chart'!$B$11*'Advanced Returns'!E71)+('Inputs and Chart'!$B$12*'Advanced Returns'!F71)+('Inputs and Chart'!$B$13*'Advanced Returns'!G71)+('Inputs and Chart'!$B$14*'Advanced Returns'!H71)+('Inputs and Chart'!$B$15*'Advanced Returns'!I71)+('Inputs and Chart'!$B$16*'Advanced Returns'!J71)-'Inputs and Chart'!$B$6)</f>
        <v>0.13590857422420491</v>
      </c>
      <c r="M71" s="33"/>
    </row>
    <row r="72" spans="1:13" x14ac:dyDescent="0.4">
      <c r="A72" s="3">
        <v>1998</v>
      </c>
      <c r="B72" s="2">
        <v>1.6119032673253202E-2</v>
      </c>
      <c r="C72" s="2">
        <v>0.28578748661777997</v>
      </c>
      <c r="D72" s="2">
        <v>0.242990850446515</v>
      </c>
      <c r="E72" s="2">
        <v>4.8559210004015099E-2</v>
      </c>
      <c r="F72" s="2">
        <v>8.6156900754280799E-2</v>
      </c>
      <c r="G72" s="2">
        <v>-2.2241958591224801E-2</v>
      </c>
      <c r="H72" s="2">
        <v>0.198492637675068</v>
      </c>
      <c r="I72" s="2">
        <v>-0.170074020848753</v>
      </c>
      <c r="J72" s="2">
        <v>-0.20548484705737199</v>
      </c>
      <c r="K72" s="16">
        <f>('Inputs and Chart'!$B$9*'Advanced Returns'!C72)+(('Inputs and Chart'!$B$10*'Advanced Returns'!D72)+('Inputs and Chart'!$B$11*'Advanced Returns'!E72)+('Inputs and Chart'!$B$12*'Advanced Returns'!F72)+('Inputs and Chart'!$B$13*'Advanced Returns'!G72)+('Inputs and Chart'!$B$14*'Advanced Returns'!H72)+('Inputs and Chart'!$B$15*'Advanced Returns'!I72)+('Inputs and Chart'!$B$16*'Advanced Returns'!J72)-'Inputs and Chart'!$B$6)</f>
        <v>8.6694051966378471E-2</v>
      </c>
      <c r="M72" s="33"/>
    </row>
    <row r="73" spans="1:13" x14ac:dyDescent="0.4">
      <c r="A73" s="3">
        <v>1999</v>
      </c>
      <c r="B73" s="2">
        <v>2.68456374591295E-2</v>
      </c>
      <c r="C73" s="2">
        <v>0.21041542750154399</v>
      </c>
      <c r="D73" s="2">
        <v>0.25219670346088102</v>
      </c>
      <c r="E73" s="2">
        <v>4.6838354891451703E-2</v>
      </c>
      <c r="F73" s="2">
        <v>4.0054201589752002E-3</v>
      </c>
      <c r="G73" s="2">
        <v>0.32614187786334697</v>
      </c>
      <c r="H73" s="2">
        <v>0.33040072938266302</v>
      </c>
      <c r="I73" s="2">
        <v>-2.5834974817391301E-2</v>
      </c>
      <c r="J73" s="2">
        <v>0.64668484771474999</v>
      </c>
      <c r="K73" s="16">
        <f>('Inputs and Chart'!$B$9*'Advanced Returns'!C73)+(('Inputs and Chart'!$B$10*'Advanced Returns'!D73)+('Inputs and Chart'!$B$11*'Advanced Returns'!E73)+('Inputs and Chart'!$B$12*'Advanced Returns'!F73)+('Inputs and Chart'!$B$13*'Advanced Returns'!G73)+('Inputs and Chart'!$B$14*'Advanced Returns'!H73)+('Inputs and Chart'!$B$15*'Advanced Returns'!I73)+('Inputs and Chart'!$B$16*'Advanced Returns'!J73)-'Inputs and Chart'!$B$6)</f>
        <v>0.18520958603940849</v>
      </c>
      <c r="M73" s="33"/>
    </row>
    <row r="74" spans="1:13" x14ac:dyDescent="0.4">
      <c r="A74" s="3">
        <v>2000</v>
      </c>
      <c r="B74" s="2">
        <v>3.3868091965401498E-2</v>
      </c>
      <c r="C74" s="2">
        <v>-9.1043883312268106E-2</v>
      </c>
      <c r="D74" s="2">
        <v>-0.114169402931887</v>
      </c>
      <c r="E74" s="2">
        <v>5.8932229245715999E-2</v>
      </c>
      <c r="F74" s="2">
        <v>0.102529136922394</v>
      </c>
      <c r="G74" s="2">
        <v>-0.112415070935197</v>
      </c>
      <c r="H74" s="2">
        <v>-0.13701261200604101</v>
      </c>
      <c r="I74" s="2">
        <v>0.31044099825378602</v>
      </c>
      <c r="J74" s="2">
        <v>-0.32000104126015799</v>
      </c>
      <c r="K74" s="16">
        <f>('Inputs and Chart'!$B$9*'Advanced Returns'!C74)+(('Inputs and Chart'!$B$10*'Advanced Returns'!D74)+('Inputs and Chart'!$B$11*'Advanced Returns'!E74)+('Inputs and Chart'!$B$12*'Advanced Returns'!F74)+('Inputs and Chart'!$B$13*'Advanced Returns'!G74)+('Inputs and Chart'!$B$14*'Advanced Returns'!H74)+('Inputs and Chart'!$B$15*'Advanced Returns'!I74)+('Inputs and Chart'!$B$16*'Advanced Returns'!J74)-'Inputs and Chart'!$B$6)</f>
        <v>-3.9302811243899463E-2</v>
      </c>
      <c r="M74" s="33"/>
    </row>
    <row r="75" spans="1:13" x14ac:dyDescent="0.4">
      <c r="A75" s="3">
        <v>2001</v>
      </c>
      <c r="B75" s="2">
        <v>1.55172411088402E-2</v>
      </c>
      <c r="C75" s="2">
        <v>-0.11885801255752899</v>
      </c>
      <c r="D75" s="2">
        <v>-0.11147860194843399</v>
      </c>
      <c r="E75" s="2">
        <v>3.82574432105574E-2</v>
      </c>
      <c r="F75" s="2">
        <v>8.1591844471678596E-2</v>
      </c>
      <c r="G75" s="2">
        <v>0.17603142361954599</v>
      </c>
      <c r="H75" s="2">
        <v>-0.210840095503847</v>
      </c>
      <c r="I75" s="2">
        <v>0.123487928080433</v>
      </c>
      <c r="J75" s="2">
        <v>-2.3081622775662499E-2</v>
      </c>
      <c r="K75" s="16">
        <f>('Inputs and Chart'!$B$9*'Advanced Returns'!C75)+(('Inputs and Chart'!$B$10*'Advanced Returns'!D75)+('Inputs and Chart'!$B$11*'Advanced Returns'!E75)+('Inputs and Chart'!$B$12*'Advanced Returns'!F75)+('Inputs and Chart'!$B$13*'Advanced Returns'!G75)+('Inputs and Chart'!$B$14*'Advanced Returns'!H75)+('Inputs and Chart'!$B$15*'Advanced Returns'!I75)+('Inputs and Chart'!$B$16*'Advanced Returns'!J75)-'Inputs and Chart'!$B$6)</f>
        <v>-3.8175214134424831E-2</v>
      </c>
      <c r="M75" s="33"/>
    </row>
    <row r="76" spans="1:13" x14ac:dyDescent="0.4">
      <c r="A76" s="3">
        <v>2002</v>
      </c>
      <c r="B76" s="2">
        <v>2.3769101363726501E-2</v>
      </c>
      <c r="C76" s="2">
        <v>-0.22101565753417701</v>
      </c>
      <c r="D76" s="2">
        <v>-0.21148273091035399</v>
      </c>
      <c r="E76" s="2">
        <v>1.64667979498603E-2</v>
      </c>
      <c r="F76" s="2">
        <v>9.29071988040506E-2</v>
      </c>
      <c r="G76" s="2">
        <v>-0.19679033528741999</v>
      </c>
      <c r="H76" s="2">
        <v>-0.13479189840860401</v>
      </c>
      <c r="I76" s="2">
        <v>3.5821767709558201E-2</v>
      </c>
      <c r="J76" s="2">
        <v>-6.2993660787835998E-2</v>
      </c>
      <c r="K76" s="16">
        <f>('Inputs and Chart'!$B$9*'Advanced Returns'!C76)+(('Inputs and Chart'!$B$10*'Advanced Returns'!D76)+('Inputs and Chart'!$B$11*'Advanced Returns'!E76)+('Inputs and Chart'!$B$12*'Advanced Returns'!F76)+('Inputs and Chart'!$B$13*'Advanced Returns'!G76)+('Inputs and Chart'!$B$14*'Advanced Returns'!H76)+('Inputs and Chart'!$B$15*'Advanced Returns'!I76)+('Inputs and Chart'!$B$16*'Advanced Returns'!J76)-'Inputs and Chart'!$B$6)</f>
        <v>-8.7335581742947033E-2</v>
      </c>
      <c r="M76" s="33"/>
    </row>
    <row r="77" spans="1:13" x14ac:dyDescent="0.4">
      <c r="A77" s="3">
        <v>2003</v>
      </c>
      <c r="B77" s="2">
        <v>1.8794913632853402E-2</v>
      </c>
      <c r="C77" s="2">
        <v>0.28689628788733401</v>
      </c>
      <c r="D77" s="2">
        <v>0.31622371291407603</v>
      </c>
      <c r="E77" s="2">
        <v>1.02147282903322E-2</v>
      </c>
      <c r="F77" s="2">
        <v>2.1000382490992099E-2</v>
      </c>
      <c r="G77" s="2">
        <v>0.58742220009490498</v>
      </c>
      <c r="H77" s="2">
        <v>0.409854580420423</v>
      </c>
      <c r="I77" s="2">
        <v>0.36179985549361998</v>
      </c>
      <c r="J77" s="2">
        <v>0.55470624893593601</v>
      </c>
      <c r="K77" s="16">
        <f>('Inputs and Chart'!$B$9*'Advanced Returns'!C77)+(('Inputs and Chart'!$B$10*'Advanced Returns'!D77)+('Inputs and Chart'!$B$11*'Advanced Returns'!E77)+('Inputs and Chart'!$B$12*'Advanced Returns'!F77)+('Inputs and Chart'!$B$13*'Advanced Returns'!G77)+('Inputs and Chart'!$B$14*'Advanced Returns'!H77)+('Inputs and Chart'!$B$15*'Advanced Returns'!I77)+('Inputs and Chart'!$B$16*'Advanced Returns'!J77)-'Inputs and Chart'!$B$6)</f>
        <v>0.2669027854109019</v>
      </c>
      <c r="M77" s="33"/>
    </row>
    <row r="78" spans="1:13" x14ac:dyDescent="0.4">
      <c r="A78" s="3">
        <v>2004</v>
      </c>
      <c r="B78" s="2">
        <v>3.2555615403559598E-2</v>
      </c>
      <c r="C78" s="2">
        <v>0.108788010571925</v>
      </c>
      <c r="D78" s="2">
        <v>0.119718370038203</v>
      </c>
      <c r="E78" s="2">
        <v>1.2025760567848201E-2</v>
      </c>
      <c r="F78" s="2">
        <v>2.0199309870741401E-2</v>
      </c>
      <c r="G78" s="2">
        <v>0.196497827682721</v>
      </c>
      <c r="H78" s="2">
        <v>0.209621051800048</v>
      </c>
      <c r="I78" s="2">
        <v>0.331633657014545</v>
      </c>
      <c r="J78" s="2">
        <v>0.29394681321500798</v>
      </c>
      <c r="K78" s="16">
        <f>('Inputs and Chart'!$B$9*'Advanced Returns'!C78)+(('Inputs and Chart'!$B$10*'Advanced Returns'!D78)+('Inputs and Chart'!$B$11*'Advanced Returns'!E78)+('Inputs and Chart'!$B$12*'Advanced Returns'!F78)+('Inputs and Chart'!$B$13*'Advanced Returns'!G78)+('Inputs and Chart'!$B$14*'Advanced Returns'!H78)+('Inputs and Chart'!$B$15*'Advanced Returns'!I78)+('Inputs and Chart'!$B$16*'Advanced Returns'!J78)-'Inputs and Chart'!$B$6)</f>
        <v>0.12996937779928694</v>
      </c>
      <c r="M78" s="33"/>
    </row>
    <row r="79" spans="1:13" x14ac:dyDescent="0.4">
      <c r="A79" s="3">
        <v>2005</v>
      </c>
      <c r="B79" s="2">
        <v>3.4156592282870803E-2</v>
      </c>
      <c r="C79" s="2">
        <v>4.9127756105876302E-2</v>
      </c>
      <c r="D79" s="2">
        <v>6.1641627638059797E-2</v>
      </c>
      <c r="E79" s="2">
        <v>2.9795334505178E-2</v>
      </c>
      <c r="F79" s="2">
        <v>1.55885414561925E-2</v>
      </c>
      <c r="G79" s="2">
        <v>5.6980835915149998E-2</v>
      </c>
      <c r="H79" s="2">
        <v>0.14963116385324701</v>
      </c>
      <c r="I79" s="2">
        <v>0.138196901837115</v>
      </c>
      <c r="J79" s="2">
        <v>0.36063950134138201</v>
      </c>
      <c r="K79" s="16">
        <f>('Inputs and Chart'!$B$9*'Advanced Returns'!C79)+(('Inputs and Chart'!$B$10*'Advanced Returns'!D79)+('Inputs and Chart'!$B$11*'Advanced Returns'!E79)+('Inputs and Chart'!$B$12*'Advanced Returns'!F79)+('Inputs and Chart'!$B$13*'Advanced Returns'!G79)+('Inputs and Chart'!$B$14*'Advanced Returns'!H79)+('Inputs and Chart'!$B$15*'Advanced Returns'!I79)+('Inputs and Chart'!$B$16*'Advanced Returns'!J79)-'Inputs and Chart'!$B$6)</f>
        <v>7.9717843163766178E-2</v>
      </c>
      <c r="M79" s="33"/>
    </row>
    <row r="80" spans="1:13" x14ac:dyDescent="0.4">
      <c r="A80" s="3">
        <v>2006</v>
      </c>
      <c r="B80" s="2">
        <v>2.5406505638957601E-2</v>
      </c>
      <c r="C80" s="2">
        <v>0.15796402434425499</v>
      </c>
      <c r="D80" s="2">
        <v>0.154815662998423</v>
      </c>
      <c r="E80" s="2">
        <v>4.7996313300976201E-2</v>
      </c>
      <c r="F80" s="2">
        <v>3.5101058258868202E-2</v>
      </c>
      <c r="G80" s="2">
        <v>0.16793407184002501</v>
      </c>
      <c r="H80" s="2">
        <v>0.25836771588737401</v>
      </c>
      <c r="I80" s="2">
        <v>0.359744528318242</v>
      </c>
      <c r="J80" s="2">
        <v>0.33568271703170499</v>
      </c>
      <c r="K80" s="16">
        <f>('Inputs and Chart'!$B$9*'Advanced Returns'!C80)+(('Inputs and Chart'!$B$10*'Advanced Returns'!D80)+('Inputs and Chart'!$B$11*'Advanced Returns'!E80)+('Inputs and Chart'!$B$12*'Advanced Returns'!F80)+('Inputs and Chart'!$B$13*'Advanced Returns'!G80)+('Inputs and Chart'!$B$14*'Advanced Returns'!H80)+('Inputs and Chart'!$B$15*'Advanced Returns'!I80)+('Inputs and Chart'!$B$16*'Advanced Returns'!J80)-'Inputs and Chart'!$B$6)</f>
        <v>0.15855699196445416</v>
      </c>
      <c r="M80" s="33"/>
    </row>
    <row r="81" spans="1:13" x14ac:dyDescent="0.4">
      <c r="A81" s="3">
        <v>2007</v>
      </c>
      <c r="B81" s="2">
        <v>4.0812686607337299E-2</v>
      </c>
      <c r="C81" s="2">
        <v>5.4937890457078802E-2</v>
      </c>
      <c r="D81" s="2">
        <v>5.8111104850151502E-2</v>
      </c>
      <c r="E81" s="2">
        <v>4.6622367908565998E-2</v>
      </c>
      <c r="F81" s="2">
        <v>8.8331698313638796E-2</v>
      </c>
      <c r="G81" s="2">
        <v>-2.6236403454351302E-2</v>
      </c>
      <c r="H81" s="2">
        <v>0.12361089330447</v>
      </c>
      <c r="I81" s="2">
        <v>-0.17554960893670199</v>
      </c>
      <c r="J81" s="2">
        <v>0.40448437108137197</v>
      </c>
      <c r="K81" s="16">
        <f>('Inputs and Chart'!$B$9*'Advanced Returns'!C81)+(('Inputs and Chart'!$B$10*'Advanced Returns'!D81)+('Inputs and Chart'!$B$11*'Advanced Returns'!E81)+('Inputs and Chart'!$B$12*'Advanced Returns'!F81)+('Inputs and Chart'!$B$13*'Advanced Returns'!G81)+('Inputs and Chart'!$B$14*'Advanced Returns'!H81)+('Inputs and Chart'!$B$15*'Advanced Returns'!I81)+('Inputs and Chart'!$B$16*'Advanced Returns'!J81)-'Inputs and Chart'!$B$6)</f>
        <v>6.0644907682588969E-2</v>
      </c>
      <c r="M81" s="33"/>
    </row>
    <row r="82" spans="1:13" x14ac:dyDescent="0.4">
      <c r="A82" s="3">
        <v>2008</v>
      </c>
      <c r="B82" s="2">
        <v>9.14128169101858E-4</v>
      </c>
      <c r="C82" s="2">
        <v>-0.36997048774680702</v>
      </c>
      <c r="D82" s="2">
        <v>-0.36705733918016797</v>
      </c>
      <c r="E82" s="2">
        <v>1.5991426324508201E-2</v>
      </c>
      <c r="F82" s="2">
        <v>0.113505208634102</v>
      </c>
      <c r="G82" s="2">
        <v>-0.38722811022098402</v>
      </c>
      <c r="H82" s="2">
        <v>-0.42659591243544398</v>
      </c>
      <c r="I82" s="2">
        <v>-0.392002106604394</v>
      </c>
      <c r="J82" s="2">
        <v>-0.53765761357295705</v>
      </c>
      <c r="K82" s="16">
        <f>('Inputs and Chart'!$B$9*'Advanced Returns'!C82)+(('Inputs and Chart'!$B$10*'Advanced Returns'!D82)+('Inputs and Chart'!$B$11*'Advanced Returns'!E82)+('Inputs and Chart'!$B$12*'Advanced Returns'!F82)+('Inputs and Chart'!$B$13*'Advanced Returns'!G82)+('Inputs and Chart'!$B$14*'Advanced Returns'!H82)+('Inputs and Chart'!$B$15*'Advanced Returns'!I82)+('Inputs and Chart'!$B$16*'Advanced Returns'!J82)-'Inputs and Chart'!$B$6)</f>
        <v>-0.26529458464756561</v>
      </c>
      <c r="M82" s="33"/>
    </row>
    <row r="83" spans="1:13" x14ac:dyDescent="0.4">
      <c r="A83" s="3">
        <v>2009</v>
      </c>
      <c r="B83" s="2">
        <v>2.72133097848841E-2</v>
      </c>
      <c r="C83" s="2">
        <v>0.26463651465055199</v>
      </c>
      <c r="D83" s="2">
        <v>0.28820199567596599</v>
      </c>
      <c r="E83" s="2">
        <v>9.6761203910422601E-4</v>
      </c>
      <c r="F83" s="2">
        <v>-1.40986608339915E-2</v>
      </c>
      <c r="G83" s="2">
        <v>0.47491814714490399</v>
      </c>
      <c r="H83" s="2">
        <v>0.33713423778136897</v>
      </c>
      <c r="I83" s="2">
        <v>0.28455603699912002</v>
      </c>
      <c r="J83" s="2">
        <v>0.81867358640356902</v>
      </c>
      <c r="K83" s="16">
        <f>('Inputs and Chart'!$B$9*'Advanced Returns'!C83)+(('Inputs and Chart'!$B$10*'Advanced Returns'!D83)+('Inputs and Chart'!$B$11*'Advanced Returns'!E83)+('Inputs and Chart'!$B$12*'Advanced Returns'!F83)+('Inputs and Chart'!$B$13*'Advanced Returns'!G83)+('Inputs and Chart'!$B$14*'Advanced Returns'!H83)+('Inputs and Chart'!$B$15*'Advanced Returns'!I83)+('Inputs and Chart'!$B$16*'Advanced Returns'!J83)-'Inputs and Chart'!$B$6)</f>
        <v>0.24227221096805629</v>
      </c>
      <c r="M83" s="33"/>
    </row>
    <row r="84" spans="1:13" x14ac:dyDescent="0.4">
      <c r="A84" s="3">
        <v>2010</v>
      </c>
      <c r="B84" s="2">
        <v>1.4957234928153301E-2</v>
      </c>
      <c r="C84" s="2">
        <v>0.150635969717307</v>
      </c>
      <c r="D84" s="2">
        <v>0.17733987539361601</v>
      </c>
      <c r="E84" s="2">
        <v>1.2137646095895501E-3</v>
      </c>
      <c r="F84" s="2">
        <v>5.2894723213340301E-2</v>
      </c>
      <c r="G84" s="2">
        <v>0.30111844332848797</v>
      </c>
      <c r="H84" s="2">
        <v>0.11915525988244099</v>
      </c>
      <c r="I84" s="2">
        <v>0.28074207653190503</v>
      </c>
      <c r="J84" s="2">
        <v>0.227362474977608</v>
      </c>
      <c r="K84" s="16">
        <f>('Inputs and Chart'!$B$9*'Advanced Returns'!C84)+(('Inputs and Chart'!$B$10*'Advanced Returns'!D84)+('Inputs and Chart'!$B$11*'Advanced Returns'!E84)+('Inputs and Chart'!$B$12*'Advanced Returns'!F84)+('Inputs and Chart'!$B$13*'Advanced Returns'!G84)+('Inputs and Chart'!$B$14*'Advanced Returns'!H84)+('Inputs and Chart'!$B$15*'Advanced Returns'!I84)+('Inputs and Chart'!$B$16*'Advanced Returns'!J84)-'Inputs and Chart'!$B$6)</f>
        <v>0.13673366476003621</v>
      </c>
      <c r="M84" s="33"/>
    </row>
    <row r="85" spans="1:13" x14ac:dyDescent="0.4">
      <c r="A85" s="3">
        <v>2011</v>
      </c>
      <c r="B85" s="2">
        <v>2.96241900299823E-2</v>
      </c>
      <c r="C85" s="2">
        <v>2.1120109624201099E-2</v>
      </c>
      <c r="D85" s="2">
        <v>7.7249559300418599E-3</v>
      </c>
      <c r="E85" s="2">
        <v>4.1737012383991101E-4</v>
      </c>
      <c r="F85" s="2">
        <v>6.5696303323336203E-2</v>
      </c>
      <c r="G85" s="2">
        <v>-5.5660041212518302E-2</v>
      </c>
      <c r="H85" s="2">
        <v>-0.12595731890342801</v>
      </c>
      <c r="I85" s="2">
        <v>9.36758587086617E-2</v>
      </c>
      <c r="J85" s="2">
        <v>-0.18739654045063001</v>
      </c>
      <c r="K85" s="16">
        <f>('Inputs and Chart'!$B$9*'Advanced Returns'!C85)+(('Inputs and Chart'!$B$10*'Advanced Returns'!D85)+('Inputs and Chart'!$B$11*'Advanced Returns'!E85)+('Inputs and Chart'!$B$12*'Advanced Returns'!F85)+('Inputs and Chart'!$B$13*'Advanced Returns'!G85)+('Inputs and Chart'!$B$14*'Advanced Returns'!H85)+('Inputs and Chart'!$B$15*'Advanced Returns'!I85)+('Inputs and Chart'!$B$16*'Advanced Returns'!J85)-'Inputs and Chart'!$B$6)</f>
        <v>-2.073760883963971E-2</v>
      </c>
      <c r="M85" s="33"/>
    </row>
    <row r="86" spans="1:13" x14ac:dyDescent="0.4">
      <c r="A86" s="3">
        <v>2012</v>
      </c>
      <c r="B86" s="2">
        <v>1.7410224582156599E-2</v>
      </c>
      <c r="C86" s="2">
        <v>0.1600350406695</v>
      </c>
      <c r="D86" s="2">
        <v>0.161618155254867</v>
      </c>
      <c r="E86" s="2">
        <v>5.9685902692452298E-4</v>
      </c>
      <c r="F86" s="2">
        <v>1.71403070527021E-2</v>
      </c>
      <c r="G86" s="2">
        <v>0.17957151671736901</v>
      </c>
      <c r="H86" s="2">
        <v>0.173773519886425</v>
      </c>
      <c r="I86" s="2">
        <v>0.17121174691228599</v>
      </c>
      <c r="J86" s="2">
        <v>0.19328463603035101</v>
      </c>
      <c r="K86" s="16">
        <f>('Inputs and Chart'!$B$9*'Advanced Returns'!C86)+(('Inputs and Chart'!$B$10*'Advanced Returns'!D86)+('Inputs and Chart'!$B$11*'Advanced Returns'!E86)+('Inputs and Chart'!$B$12*'Advanced Returns'!F86)+('Inputs and Chart'!$B$13*'Advanced Returns'!G86)+('Inputs and Chart'!$B$14*'Advanced Returns'!H86)+('Inputs and Chart'!$B$15*'Advanced Returns'!I86)+('Inputs and Chart'!$B$16*'Advanced Returns'!J86)-'Inputs and Chart'!$B$6)</f>
        <v>0.11164178278910916</v>
      </c>
      <c r="M86" s="33"/>
    </row>
    <row r="87" spans="1:13" x14ac:dyDescent="0.4">
      <c r="A87" s="3">
        <v>2013</v>
      </c>
      <c r="B87" s="2">
        <v>1.5017358409800801E-2</v>
      </c>
      <c r="C87" s="2">
        <v>0.32388127505741598</v>
      </c>
      <c r="D87" s="2">
        <v>0.35169544390455698</v>
      </c>
      <c r="E87" s="2">
        <v>2.3792520243714999E-4</v>
      </c>
      <c r="F87" s="2">
        <v>-1.3395159339784199E-2</v>
      </c>
      <c r="G87" s="2">
        <v>0.44355666326188198</v>
      </c>
      <c r="H87" s="2">
        <v>0.22584130171594199</v>
      </c>
      <c r="I87" s="2">
        <v>1.21579159315017E-2</v>
      </c>
      <c r="J87" s="2">
        <v>6.1615048238028403E-4</v>
      </c>
      <c r="K87" s="16">
        <f>('Inputs and Chart'!$B$9*'Advanced Returns'!C87)+(('Inputs and Chart'!$B$10*'Advanced Returns'!D87)+('Inputs and Chart'!$B$11*'Advanced Returns'!E87)+('Inputs and Chart'!$B$12*'Advanced Returns'!F87)+('Inputs and Chart'!$B$13*'Advanced Returns'!G87)+('Inputs and Chart'!$B$14*'Advanced Returns'!H87)+('Inputs and Chart'!$B$15*'Advanced Returns'!I87)+('Inputs and Chart'!$B$16*'Advanced Returns'!J87)-'Inputs and Chart'!$B$6)</f>
        <v>0.15627326514282494</v>
      </c>
      <c r="M87" s="33"/>
    </row>
    <row r="88" spans="1:13" x14ac:dyDescent="0.4">
      <c r="A88" s="3">
        <v>2014</v>
      </c>
      <c r="B88" s="2">
        <v>7.5649329781717397E-3</v>
      </c>
      <c r="C88" s="2">
        <v>0.13688531800225101</v>
      </c>
      <c r="D88" s="2">
        <v>0.116460891628217</v>
      </c>
      <c r="E88" s="2">
        <v>1.6291111216615301E-4</v>
      </c>
      <c r="F88" s="2">
        <v>2.5744651947060299E-2</v>
      </c>
      <c r="G88" s="2">
        <v>4.0179443083424998E-2</v>
      </c>
      <c r="H88" s="2">
        <v>-3.9610567361674898E-2</v>
      </c>
      <c r="I88" s="2">
        <v>0.31998647540475</v>
      </c>
      <c r="J88" s="2">
        <v>9.6415133504335101E-5</v>
      </c>
      <c r="K88" s="16">
        <f>('Inputs and Chart'!$B$9*'Advanced Returns'!C88)+(('Inputs and Chart'!$B$10*'Advanced Returns'!D88)+('Inputs and Chart'!$B$11*'Advanced Returns'!E88)+('Inputs and Chart'!$B$12*'Advanced Returns'!F88)+('Inputs and Chart'!$B$13*'Advanced Returns'!G88)+('Inputs and Chart'!$B$14*'Advanced Returns'!H88)+('Inputs and Chart'!$B$15*'Advanced Returns'!I88)+('Inputs and Chart'!$B$16*'Advanced Returns'!J88)-'Inputs and Chart'!$B$6)</f>
        <v>5.8469820870687708E-2</v>
      </c>
      <c r="M88" s="33"/>
    </row>
    <row r="89" spans="1:13" x14ac:dyDescent="0.4">
      <c r="A89" s="3">
        <v>2015</v>
      </c>
      <c r="B89" s="2">
        <v>7.2951988950771297E-3</v>
      </c>
      <c r="C89" s="2">
        <v>1.3838329371268899E-2</v>
      </c>
      <c r="D89" s="2">
        <v>-4.5383305179248499E-3</v>
      </c>
      <c r="E89" s="2">
        <v>1.89010982487359E-4</v>
      </c>
      <c r="F89" s="2">
        <v>1.1828027945083801E-2</v>
      </c>
      <c r="G89" s="2">
        <v>-7.8828401277510396E-2</v>
      </c>
      <c r="H89" s="2">
        <v>-5.0568383640449098E-3</v>
      </c>
      <c r="I89" s="2">
        <v>4.4799368429255998E-2</v>
      </c>
      <c r="J89" s="2">
        <v>-0.111406849419144</v>
      </c>
      <c r="K89" s="16">
        <f>('Inputs and Chart'!$B$9*'Advanced Returns'!C89)+(('Inputs and Chart'!$B$10*'Advanced Returns'!D89)+('Inputs and Chart'!$B$11*'Advanced Returns'!E89)+('Inputs and Chart'!$B$12*'Advanced Returns'!F89)+('Inputs and Chart'!$B$13*'Advanced Returns'!G89)+('Inputs and Chart'!$B$14*'Advanced Returns'!H89)+('Inputs and Chart'!$B$15*'Advanced Returns'!I89)+('Inputs and Chart'!$B$16*'Advanced Returns'!J89)-'Inputs and Chart'!$B$6)</f>
        <v>-1.9133660449094463E-2</v>
      </c>
      <c r="M89" s="33"/>
    </row>
    <row r="90" spans="1:13" x14ac:dyDescent="0.4">
      <c r="A90" s="3">
        <v>2016</v>
      </c>
      <c r="B90" s="2">
        <v>2.0746221701818401E-2</v>
      </c>
      <c r="C90" s="2">
        <v>0.11959922130142001</v>
      </c>
      <c r="D90" s="2">
        <v>0.135817182657445</v>
      </c>
      <c r="E90" s="2">
        <v>1.99931119685837E-3</v>
      </c>
      <c r="F90" s="2">
        <v>1.0577737978802799E-2</v>
      </c>
      <c r="G90" s="2">
        <v>0.227011348266041</v>
      </c>
      <c r="H90" s="2">
        <v>3.0716006404890601E-2</v>
      </c>
      <c r="I90" s="2">
        <v>6.6766258320528404E-2</v>
      </c>
      <c r="J90" s="2">
        <v>0.104611711555105</v>
      </c>
      <c r="K90" s="16">
        <f>('Inputs and Chart'!$B$9*'Advanced Returns'!C90)+(('Inputs and Chart'!$B$10*'Advanced Returns'!D90)+('Inputs and Chart'!$B$11*'Advanced Returns'!E90)+('Inputs and Chart'!$B$12*'Advanced Returns'!F90)+('Inputs and Chart'!$B$13*'Advanced Returns'!G90)+('Inputs and Chart'!$B$14*'Advanced Returns'!H90)+('Inputs and Chart'!$B$15*'Advanced Returns'!I90)+('Inputs and Chart'!$B$16*'Advanced Returns'!J90)-'Inputs and Chart'!$B$6)</f>
        <v>6.4644710700693081E-2</v>
      </c>
      <c r="M90" s="33"/>
    </row>
    <row r="91" spans="1:13" x14ac:dyDescent="0.4">
      <c r="A91" s="3">
        <v>2017</v>
      </c>
      <c r="B91" s="2">
        <v>2.10908248352095E-2</v>
      </c>
      <c r="C91" s="2">
        <v>0.21831564492090599</v>
      </c>
      <c r="D91" s="2">
        <v>0.21053658535963399</v>
      </c>
      <c r="E91" s="2">
        <v>7.9723177862600601E-3</v>
      </c>
      <c r="F91" s="2">
        <v>1.13830177350271E-2</v>
      </c>
      <c r="G91" s="2">
        <v>0.118809212142793</v>
      </c>
      <c r="H91" s="2">
        <v>0.26767526644383799</v>
      </c>
      <c r="I91" s="2">
        <v>3.7634514388903598E-2</v>
      </c>
      <c r="J91" s="2">
        <v>0.35667411457680598</v>
      </c>
      <c r="K91" s="16">
        <f>('Inputs and Chart'!$B$9*'Advanced Returns'!C91)+(('Inputs and Chart'!$B$10*'Advanced Returns'!D91)+('Inputs and Chart'!$B$11*'Advanced Returns'!E91)+('Inputs and Chart'!$B$12*'Advanced Returns'!F91)+('Inputs and Chart'!$B$13*'Advanced Returns'!G91)+('Inputs and Chart'!$B$14*'Advanced Returns'!H91)+('Inputs and Chart'!$B$15*'Advanced Returns'!I91)+('Inputs and Chart'!$B$16*'Advanced Returns'!J91)-'Inputs and Chart'!$B$6)</f>
        <v>0.13607230862741337</v>
      </c>
      <c r="M91" s="33"/>
    </row>
    <row r="92" spans="1:13" x14ac:dyDescent="0.4">
      <c r="A92" s="3">
        <v>2018</v>
      </c>
      <c r="B92" s="2">
        <v>1.9101588678388699E-2</v>
      </c>
      <c r="C92" s="2">
        <v>-4.3843493225257602E-2</v>
      </c>
      <c r="D92" s="2">
        <v>-5.0221247300661097E-2</v>
      </c>
      <c r="E92" s="2">
        <v>1.8305201315332201E-2</v>
      </c>
      <c r="F92" s="2">
        <v>1.4106852089026E-2</v>
      </c>
      <c r="G92" s="2">
        <v>-0.110513916904664</v>
      </c>
      <c r="H92" s="2">
        <v>-0.137388408493307</v>
      </c>
      <c r="I92" s="2">
        <v>-4.2189806627130899E-2</v>
      </c>
      <c r="J92" s="2">
        <v>-0.13899693770820501</v>
      </c>
      <c r="K92" s="16">
        <f>('Inputs and Chart'!$B$9*'Advanced Returns'!C92)+(('Inputs and Chart'!$B$10*'Advanced Returns'!D92)+('Inputs and Chart'!$B$11*'Advanced Returns'!E92)+('Inputs and Chart'!$B$12*'Advanced Returns'!F92)+('Inputs and Chart'!$B$13*'Advanced Returns'!G92)+('Inputs and Chart'!$B$14*'Advanced Returns'!H92)+('Inputs and Chart'!$B$15*'Advanced Returns'!I92)+('Inputs and Chart'!$B$16*'Advanced Returns'!J92)-'Inputs and Chart'!$B$6)</f>
        <v>-6.5732753338898192E-2</v>
      </c>
      <c r="M92" s="33"/>
    </row>
    <row r="93" spans="1:13" x14ac:dyDescent="0.4">
      <c r="A93" s="3">
        <v>2019</v>
      </c>
      <c r="B93" s="2">
        <v>2.2851297603887301E-2</v>
      </c>
      <c r="C93" s="2">
        <v>0.31486420194583198</v>
      </c>
      <c r="D93" s="2">
        <v>0.30370303349952499</v>
      </c>
      <c r="E93" s="2">
        <v>2.15330218405392E-2</v>
      </c>
      <c r="F93" s="2">
        <v>5.2238276375694601E-2</v>
      </c>
      <c r="G93" s="2">
        <v>0.25297965773176401</v>
      </c>
      <c r="H93" s="2">
        <v>0.21979893875281301</v>
      </c>
      <c r="I93" s="2">
        <v>0.23103527302953999</v>
      </c>
      <c r="J93" s="2">
        <v>0.16873960199464499</v>
      </c>
      <c r="K93" s="16">
        <f>('Inputs and Chart'!$B$9*'Advanced Returns'!C93)+(('Inputs and Chart'!$B$10*'Advanced Returns'!D93)+('Inputs and Chart'!$B$11*'Advanced Returns'!E93)+('Inputs and Chart'!$B$12*'Advanced Returns'!F93)+('Inputs and Chart'!$B$13*'Advanced Returns'!G93)+('Inputs and Chart'!$B$14*'Advanced Returns'!H93)+('Inputs and Chart'!$B$15*'Advanced Returns'!I93)+('Inputs and Chart'!$B$16*'Advanced Returns'!J93)-'Inputs and Chart'!$B$6)</f>
        <v>0.18136702384165082</v>
      </c>
      <c r="M93" s="33"/>
    </row>
    <row r="94" spans="1:13" x14ac:dyDescent="0.4">
      <c r="A94" s="3">
        <v>2020</v>
      </c>
      <c r="B94" s="2">
        <v>1.36200548537357E-2</v>
      </c>
      <c r="C94" s="2">
        <v>0.183987792112461</v>
      </c>
      <c r="D94" s="2">
        <v>0.23452024605407101</v>
      </c>
      <c r="E94" s="2">
        <v>4.5058873212084896E-3</v>
      </c>
      <c r="F94" s="2">
        <v>5.7748859731813401E-2</v>
      </c>
      <c r="G94" s="2">
        <v>0.28106232082805999</v>
      </c>
      <c r="H94" s="2">
        <v>0.104026661682632</v>
      </c>
      <c r="I94" s="2">
        <v>-0.111978565431785</v>
      </c>
      <c r="J94" s="2">
        <v>0.181683233776393</v>
      </c>
      <c r="K94" s="16">
        <f>('Inputs and Chart'!$B$9*'Advanced Returns'!C94)+(('Inputs and Chart'!$B$10*'Advanced Returns'!D94)+('Inputs and Chart'!$B$11*'Advanced Returns'!E94)+('Inputs and Chart'!$B$12*'Advanced Returns'!F94)+('Inputs and Chart'!$B$13*'Advanced Returns'!G94)+('Inputs and Chart'!$B$14*'Advanced Returns'!H94)+('Inputs and Chart'!$B$15*'Advanced Returns'!I94)+('Inputs and Chart'!$B$16*'Advanced Returns'!J94)-'Inputs and Chart'!$B$6)</f>
        <v>0.10978773474120394</v>
      </c>
      <c r="M94" s="33"/>
    </row>
    <row r="95" spans="1:13" x14ac:dyDescent="0.4">
      <c r="A95" s="3">
        <v>2021</v>
      </c>
      <c r="B95" s="2">
        <v>7.0364028876167106E-2</v>
      </c>
      <c r="C95" s="2">
        <v>0.28705416863959698</v>
      </c>
      <c r="D95" s="2">
        <v>0.23971291670181599</v>
      </c>
      <c r="E95" s="2">
        <v>4.1027489750899998E-4</v>
      </c>
      <c r="F95" s="2">
        <v>-1.7181938870524899E-2</v>
      </c>
      <c r="G95" s="2">
        <v>0.142283138844607</v>
      </c>
      <c r="H95" s="2">
        <v>0.124849399738195</v>
      </c>
      <c r="I95" s="2">
        <v>0.45913111177566901</v>
      </c>
      <c r="J95" s="2">
        <v>2.3389698639362001E-2</v>
      </c>
      <c r="K95" s="16">
        <f>('Inputs and Chart'!$B$9*'Advanced Returns'!C95)+(('Inputs and Chart'!$B$10*'Advanced Returns'!D95)+('Inputs and Chart'!$B$11*'Advanced Returns'!E95)+('Inputs and Chart'!$B$12*'Advanced Returns'!F95)+('Inputs and Chart'!$B$13*'Advanced Returns'!G95)+('Inputs and Chart'!$B$14*'Advanced Returns'!H95)+('Inputs and Chart'!$B$15*'Advanced Returns'!I95)+('Inputs and Chart'!$B$16*'Advanced Returns'!J95)-'Inputs and Chart'!$B$6)</f>
        <v>0.13393383397293665</v>
      </c>
      <c r="M95" s="33"/>
    </row>
    <row r="96" spans="1:13" x14ac:dyDescent="0.4">
      <c r="A96" s="3">
        <v>2022</v>
      </c>
      <c r="B96" s="2">
        <v>6.45440133153104E-2</v>
      </c>
      <c r="C96" s="2">
        <v>-0.18110865157820499</v>
      </c>
      <c r="D96" s="2">
        <v>-0.19766985898289999</v>
      </c>
      <c r="E96" s="2">
        <v>1.43412856760212E-2</v>
      </c>
      <c r="F96" s="2">
        <v>-7.7732675789063302E-2</v>
      </c>
      <c r="G96" s="2">
        <v>-0.235242641256725</v>
      </c>
      <c r="H96" s="2">
        <v>-0.156806747996136</v>
      </c>
      <c r="I96" s="2">
        <v>-0.25961301598719</v>
      </c>
      <c r="J96" s="2">
        <v>-0.17760000000000001</v>
      </c>
      <c r="K96" s="16">
        <f>('Inputs and Chart'!$B$9*'Advanced Returns'!C96)+(('Inputs and Chart'!$B$10*'Advanced Returns'!D96)+('Inputs and Chart'!$B$11*'Advanced Returns'!E96)+('Inputs and Chart'!$B$12*'Advanced Returns'!F96)+('Inputs and Chart'!$B$13*'Advanced Returns'!G96)+('Inputs and Chart'!$B$14*'Advanced Returns'!H96)+('Inputs and Chart'!$B$15*'Advanced Returns'!I96)+('Inputs and Chart'!$B$16*'Advanced Returns'!J96)-'Inputs and Chart'!$B$6)</f>
        <v>-0.16927721357213221</v>
      </c>
      <c r="M96" s="33"/>
    </row>
    <row r="97" spans="1:13" x14ac:dyDescent="0.4">
      <c r="A97" s="3">
        <v>2023</v>
      </c>
      <c r="B97" s="2">
        <v>3.3521228451896597E-2</v>
      </c>
      <c r="C97" s="2">
        <v>0.26287627495444299</v>
      </c>
      <c r="D97" s="2">
        <v>0.266175744835143</v>
      </c>
      <c r="E97" s="2">
        <v>4.9475993799909398E-2</v>
      </c>
      <c r="F97" s="2">
        <v>4.2828170744765803E-2</v>
      </c>
      <c r="G97" s="2">
        <v>0.178406489080181</v>
      </c>
      <c r="H97" s="2">
        <v>0.15820000000000001</v>
      </c>
      <c r="I97" s="2">
        <v>0.1396</v>
      </c>
      <c r="J97" s="2">
        <v>0.12470000000000001</v>
      </c>
      <c r="K97" s="16">
        <f>('Inputs and Chart'!$B$9*'Advanced Returns'!C97)+(('Inputs and Chart'!$B$10*'Advanced Returns'!D97)+('Inputs and Chart'!$B$11*'Advanced Returns'!E97)+('Inputs and Chart'!$B$12*'Advanced Returns'!F97)+('Inputs and Chart'!$B$13*'Advanced Returns'!G97)+('Inputs and Chart'!$B$14*'Advanced Returns'!H97)+('Inputs and Chart'!$B$15*'Advanced Returns'!I97)+('Inputs and Chart'!$B$16*'Advanced Returns'!J97)-'Inputs and Chart'!$B$6)</f>
        <v>0.14234943284490184</v>
      </c>
      <c r="M97" s="33"/>
    </row>
    <row r="98" spans="1:13" x14ac:dyDescent="0.4">
      <c r="A98" s="3">
        <v>2024</v>
      </c>
      <c r="B98" s="2">
        <v>2.8880572220787399E-2</v>
      </c>
      <c r="C98" s="2">
        <v>0.25019720461445899</v>
      </c>
      <c r="D98" s="2">
        <v>0.25151355568297401</v>
      </c>
      <c r="E98" s="2">
        <v>5.36572126829791E-2</v>
      </c>
      <c r="F98" s="2">
        <v>2.4196210994441601E-2</v>
      </c>
      <c r="G98" s="2">
        <v>0.161068183188536</v>
      </c>
      <c r="H98" s="2">
        <v>3.8899999999999997E-2</v>
      </c>
      <c r="I98" s="2">
        <v>8.1000000000000003E-2</v>
      </c>
      <c r="J98" s="2">
        <v>6.4299999999999996E-2</v>
      </c>
      <c r="K98" s="16">
        <f>('Inputs and Chart'!$B$9*'Advanced Returns'!C98)+(('Inputs and Chart'!$B$10*'Advanced Returns'!D98)+('Inputs and Chart'!$B$11*'Advanced Returns'!E98)+('Inputs and Chart'!$B$12*'Advanced Returns'!F98)+('Inputs and Chart'!$B$13*'Advanced Returns'!G98)+('Inputs and Chart'!$B$14*'Advanced Returns'!H98)+('Inputs and Chart'!$B$15*'Advanced Returns'!I98)+('Inputs and Chart'!$B$16*'Advanced Returns'!J98)-'Inputs and Chart'!$B$6)</f>
        <v>0.1028518238127832</v>
      </c>
    </row>
    <row r="99" spans="1:13" x14ac:dyDescent="0.4">
      <c r="A99" s="3">
        <v>2025</v>
      </c>
      <c r="B99" s="33">
        <v>2.67708054525304E-2</v>
      </c>
      <c r="C99" s="33">
        <v>0.17879992660373401</v>
      </c>
      <c r="D99" s="33">
        <v>0.174686658132095</v>
      </c>
      <c r="E99" s="33">
        <v>4.2547548592030103E-2</v>
      </c>
      <c r="F99" s="33">
        <v>6.5059174026257396E-2</v>
      </c>
      <c r="G99" s="33">
        <v>0.117599783035545</v>
      </c>
      <c r="H99" s="35">
        <v>0.32169999999999999</v>
      </c>
      <c r="I99" s="33">
        <v>3.6700000000000003E-2</v>
      </c>
      <c r="J99" s="33">
        <v>0.29570000000000002</v>
      </c>
      <c r="K99" s="16">
        <f>('Inputs and Chart'!$B$9*'Advanced Returns'!C99)+(('Inputs and Chart'!$B$10*'Advanced Returns'!D99)+('Inputs and Chart'!$B$11*'Advanced Returns'!E99)+('Inputs and Chart'!$B$12*'Advanced Returns'!F99)+('Inputs and Chart'!$B$13*'Advanced Returns'!G99)+('Inputs and Chart'!$B$14*'Advanced Returns'!H99)+('Inputs and Chart'!$B$15*'Advanced Returns'!I99)+('Inputs and Chart'!$B$16*'Advanced Returns'!J99)-'Inputs and Chart'!$B$6)</f>
        <v>0.14426921836971202</v>
      </c>
    </row>
  </sheetData>
  <pageMargins left="0.7" right="0.7" top="0.75" bottom="0.75" header="0.3" footer="0.3"/>
  <pageSetup orientation="portrait" horizontalDpi="300" verticalDpi="3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Inputs and Chart</vt:lpstr>
      <vt:lpstr>Calcs and Formulas</vt:lpstr>
      <vt:lpstr>Advanced Returns</vt:lpstr>
      <vt:lpstr>'Calcs and Formulas'!Print_Area</vt:lpstr>
      <vt:lpstr>'Inputs and Chart'!Print_Area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Fox</dc:creator>
  <cp:lastModifiedBy>Andrew Fox</cp:lastModifiedBy>
  <cp:lastPrinted>2026-03-09T14:59:33Z</cp:lastPrinted>
  <dcterms:created xsi:type="dcterms:W3CDTF">2024-06-11T14:49:39Z</dcterms:created>
  <dcterms:modified xsi:type="dcterms:W3CDTF">2026-03-26T16:44:29Z</dcterms:modified>
</cp:coreProperties>
</file>